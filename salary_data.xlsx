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 MANAGER\Desktop\Soft\"/>
    </mc:Choice>
  </mc:AlternateContent>
  <bookViews>
    <workbookView xWindow="0" yWindow="0" windowWidth="19200" windowHeight="6930"/>
  </bookViews>
  <sheets>
    <sheet name="Sheet2" sheetId="2" r:id="rId1"/>
  </sheets>
  <calcPr calcId="162913"/>
</workbook>
</file>

<file path=xl/calcChain.xml><?xml version="1.0" encoding="utf-8"?>
<calcChain xmlns="http://schemas.openxmlformats.org/spreadsheetml/2006/main">
  <c r="AL69" i="2" l="1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U69" i="2" l="1"/>
  <c r="AD69" i="2" s="1"/>
  <c r="U68" i="2"/>
  <c r="AD68" i="2" s="1"/>
  <c r="U67" i="2"/>
  <c r="AD67" i="2" s="1"/>
  <c r="U66" i="2"/>
  <c r="AD66" i="2" s="1"/>
  <c r="U65" i="2"/>
  <c r="AD65" i="2" s="1"/>
  <c r="U64" i="2"/>
  <c r="AD64" i="2" s="1"/>
  <c r="U63" i="2"/>
  <c r="AD63" i="2" s="1"/>
  <c r="U62" i="2"/>
  <c r="AD62" i="2" s="1"/>
  <c r="U61" i="2"/>
  <c r="AD61" i="2" s="1"/>
  <c r="U60" i="2"/>
  <c r="AD60" i="2" s="1"/>
  <c r="U59" i="2"/>
  <c r="AD59" i="2" s="1"/>
  <c r="U58" i="2"/>
  <c r="AD58" i="2" s="1"/>
  <c r="U57" i="2"/>
  <c r="AD57" i="2" s="1"/>
  <c r="U56" i="2"/>
  <c r="AD56" i="2" s="1"/>
  <c r="U55" i="2"/>
  <c r="AD55" i="2" s="1"/>
  <c r="U54" i="2"/>
  <c r="AD54" i="2" s="1"/>
  <c r="U53" i="2"/>
  <c r="AD53" i="2" s="1"/>
  <c r="U52" i="2"/>
  <c r="AD52" i="2" s="1"/>
  <c r="U51" i="2"/>
  <c r="AD51" i="2" s="1"/>
  <c r="U50" i="2"/>
  <c r="AD50" i="2" s="1"/>
  <c r="U49" i="2"/>
  <c r="AD49" i="2" s="1"/>
  <c r="U48" i="2"/>
  <c r="AD48" i="2" s="1"/>
  <c r="U47" i="2"/>
  <c r="AD47" i="2" s="1"/>
  <c r="U46" i="2"/>
  <c r="AD46" i="2" s="1"/>
  <c r="U45" i="2"/>
  <c r="AD45" i="2" s="1"/>
  <c r="U44" i="2"/>
  <c r="AD44" i="2" s="1"/>
  <c r="U43" i="2"/>
  <c r="AD43" i="2" s="1"/>
  <c r="U42" i="2"/>
  <c r="AD42" i="2" s="1"/>
  <c r="U41" i="2"/>
  <c r="AD41" i="2" s="1"/>
  <c r="U40" i="2"/>
  <c r="AD40" i="2" s="1"/>
  <c r="U39" i="2"/>
  <c r="AD39" i="2" s="1"/>
  <c r="U38" i="2"/>
  <c r="AD38" i="2" s="1"/>
  <c r="U37" i="2"/>
  <c r="AD37" i="2" s="1"/>
  <c r="U36" i="2"/>
  <c r="AD36" i="2" s="1"/>
  <c r="U35" i="2"/>
  <c r="AD35" i="2" s="1"/>
  <c r="U34" i="2"/>
  <c r="AD34" i="2" s="1"/>
  <c r="U33" i="2"/>
  <c r="AD33" i="2" s="1"/>
  <c r="U32" i="2"/>
  <c r="AD32" i="2" s="1"/>
  <c r="U31" i="2"/>
  <c r="AD31" i="2" s="1"/>
  <c r="U30" i="2"/>
  <c r="AD30" i="2" s="1"/>
  <c r="U29" i="2"/>
  <c r="AD29" i="2" s="1"/>
  <c r="U28" i="2"/>
  <c r="AD28" i="2" s="1"/>
  <c r="U27" i="2"/>
  <c r="AD27" i="2" s="1"/>
  <c r="U26" i="2"/>
  <c r="AD26" i="2" s="1"/>
  <c r="U25" i="2"/>
  <c r="AD25" i="2" s="1"/>
  <c r="U24" i="2"/>
  <c r="AD24" i="2" s="1"/>
  <c r="U23" i="2"/>
  <c r="AD23" i="2" s="1"/>
  <c r="U22" i="2"/>
  <c r="AD22" i="2" s="1"/>
  <c r="U21" i="2"/>
  <c r="AD21" i="2" s="1"/>
  <c r="U20" i="2"/>
  <c r="AD20" i="2" s="1"/>
  <c r="U19" i="2"/>
  <c r="AD19" i="2" s="1"/>
  <c r="U18" i="2"/>
  <c r="AD18" i="2" s="1"/>
  <c r="U17" i="2"/>
  <c r="AD17" i="2" s="1"/>
  <c r="U16" i="2"/>
  <c r="AD16" i="2" s="1"/>
  <c r="U15" i="2"/>
  <c r="AD15" i="2" s="1"/>
  <c r="U14" i="2"/>
  <c r="AD14" i="2" s="1"/>
  <c r="U13" i="2"/>
  <c r="AD13" i="2" s="1"/>
  <c r="U12" i="2"/>
  <c r="AD12" i="2" s="1"/>
  <c r="U11" i="2"/>
  <c r="AD11" i="2" s="1"/>
  <c r="U10" i="2"/>
  <c r="AD10" i="2" s="1"/>
  <c r="U9" i="2"/>
  <c r="AD9" i="2" s="1"/>
  <c r="U8" i="2"/>
  <c r="AD8" i="2" s="1"/>
  <c r="U7" i="2"/>
  <c r="AD7" i="2" s="1"/>
  <c r="U6" i="2"/>
  <c r="AD6" i="2" s="1"/>
  <c r="U5" i="2"/>
  <c r="AD5" i="2" s="1"/>
  <c r="U4" i="2"/>
  <c r="AD4" i="2" s="1"/>
  <c r="U3" i="2"/>
  <c r="AD3" i="2" s="1"/>
  <c r="U2" i="2"/>
  <c r="AD2" i="2" s="1"/>
  <c r="AM5" i="2" l="1"/>
  <c r="AM21" i="2"/>
  <c r="AM2" i="2"/>
  <c r="AM6" i="2"/>
  <c r="AM10" i="2"/>
  <c r="AM14" i="2"/>
  <c r="AM18" i="2"/>
  <c r="AM22" i="2"/>
  <c r="AM26" i="2"/>
  <c r="AM30" i="2"/>
  <c r="AM34" i="2"/>
  <c r="AM38" i="2"/>
  <c r="AM42" i="2"/>
  <c r="AM46" i="2"/>
  <c r="AM50" i="2"/>
  <c r="AM54" i="2"/>
  <c r="AM58" i="2"/>
  <c r="AM62" i="2"/>
  <c r="AM66" i="2"/>
  <c r="AM9" i="2"/>
  <c r="AM25" i="2"/>
  <c r="AM7" i="2"/>
  <c r="AM17" i="2"/>
  <c r="AM11" i="2"/>
  <c r="AM13" i="2"/>
  <c r="AM3" i="2"/>
  <c r="AM4" i="2"/>
  <c r="AM8" i="2"/>
  <c r="AM12" i="2"/>
  <c r="AM29" i="2"/>
  <c r="AM33" i="2"/>
  <c r="AM37" i="2"/>
  <c r="AM41" i="2"/>
  <c r="AM45" i="2"/>
  <c r="AM49" i="2"/>
  <c r="AM53" i="2"/>
  <c r="AM57" i="2"/>
  <c r="AM61" i="2"/>
  <c r="AM65" i="2"/>
  <c r="AM69" i="2"/>
  <c r="AM15" i="2"/>
  <c r="AM19" i="2"/>
  <c r="AM23" i="2"/>
  <c r="AM27" i="2"/>
  <c r="AM31" i="2"/>
  <c r="AM35" i="2"/>
  <c r="AM39" i="2"/>
  <c r="AM43" i="2"/>
  <c r="AM47" i="2"/>
  <c r="AM51" i="2"/>
  <c r="AM55" i="2"/>
  <c r="AM59" i="2"/>
  <c r="AM63" i="2"/>
  <c r="AM67" i="2"/>
  <c r="AM16" i="2"/>
  <c r="AM20" i="2"/>
  <c r="AM24" i="2"/>
  <c r="AM28" i="2"/>
  <c r="AM32" i="2"/>
  <c r="AM36" i="2"/>
  <c r="AM40" i="2"/>
  <c r="AM44" i="2"/>
  <c r="AM48" i="2"/>
  <c r="AM52" i="2"/>
  <c r="AM56" i="2"/>
  <c r="AM60" i="2"/>
  <c r="AM64" i="2"/>
  <c r="AM68" i="2"/>
</calcChain>
</file>

<file path=xl/sharedStrings.xml><?xml version="1.0" encoding="utf-8"?>
<sst xmlns="http://schemas.openxmlformats.org/spreadsheetml/2006/main" count="598" uniqueCount="348">
  <si>
    <t>Month</t>
  </si>
  <si>
    <t>Password</t>
  </si>
  <si>
    <t>12345</t>
  </si>
  <si>
    <t>Employee Name</t>
  </si>
  <si>
    <t>Month Days</t>
  </si>
  <si>
    <t>Worked Days</t>
  </si>
  <si>
    <t>PF</t>
  </si>
  <si>
    <t>ESIC</t>
  </si>
  <si>
    <t>LWF</t>
  </si>
  <si>
    <t>Net Pay</t>
  </si>
  <si>
    <t>UAN NO</t>
  </si>
  <si>
    <t>ESIC NO</t>
  </si>
  <si>
    <t xml:space="preserve"> Earn Gross</t>
  </si>
  <si>
    <t>Ac No</t>
  </si>
  <si>
    <t>Designation</t>
  </si>
  <si>
    <t>Location</t>
  </si>
  <si>
    <t>Sept-26</t>
  </si>
  <si>
    <t>N348564</t>
  </si>
  <si>
    <t>Ravi Kumar</t>
  </si>
  <si>
    <t>S268920</t>
  </si>
  <si>
    <t>Sethuramapandiyan Saravanavel</t>
  </si>
  <si>
    <t>N347739</t>
  </si>
  <si>
    <t>Vikash Kumar</t>
  </si>
  <si>
    <t>N359043</t>
  </si>
  <si>
    <t>Sachin</t>
  </si>
  <si>
    <t>N359086</t>
  </si>
  <si>
    <t>HARIKESH</t>
  </si>
  <si>
    <t>N359566</t>
  </si>
  <si>
    <t>Kailash Tiwari</t>
  </si>
  <si>
    <t>N357828</t>
  </si>
  <si>
    <t>Koushal Kumar</t>
  </si>
  <si>
    <t>N359804</t>
  </si>
  <si>
    <t>Suraj</t>
  </si>
  <si>
    <t>N357374</t>
  </si>
  <si>
    <t>Mo Arman</t>
  </si>
  <si>
    <t>N354158</t>
  </si>
  <si>
    <t>Neha Kumari</t>
  </si>
  <si>
    <t>N358072</t>
  </si>
  <si>
    <t>SATISH KUMAR</t>
  </si>
  <si>
    <t>N360366</t>
  </si>
  <si>
    <t>Satyam Tiwari</t>
  </si>
  <si>
    <t>N353752</t>
  </si>
  <si>
    <t>Praveen Kumar</t>
  </si>
  <si>
    <t>N362475</t>
  </si>
  <si>
    <t>Ehsas Gautam</t>
  </si>
  <si>
    <t>N357372</t>
  </si>
  <si>
    <t>Isha Gunjan Kujur</t>
  </si>
  <si>
    <t>N358700</t>
  </si>
  <si>
    <t>Laxman Sha</t>
  </si>
  <si>
    <t>N364956</t>
  </si>
  <si>
    <t>Rahul Singh Kaushal</t>
  </si>
  <si>
    <t>N358076</t>
  </si>
  <si>
    <t>Lovkesh Kumar</t>
  </si>
  <si>
    <t>N347462</t>
  </si>
  <si>
    <t>Albert Toppo</t>
  </si>
  <si>
    <t>N362532</t>
  </si>
  <si>
    <t>N362536</t>
  </si>
  <si>
    <t>Pappu Kumar</t>
  </si>
  <si>
    <t>N362977</t>
  </si>
  <si>
    <t>Sandeep Kumar</t>
  </si>
  <si>
    <t>N363553</t>
  </si>
  <si>
    <t>Akhilesh Kumar</t>
  </si>
  <si>
    <t>N364204</t>
  </si>
  <si>
    <t>Vinay Kumar Singh</t>
  </si>
  <si>
    <t>N366396</t>
  </si>
  <si>
    <t>Yogesh</t>
  </si>
  <si>
    <t>N348195</t>
  </si>
  <si>
    <t>Subrata Patra</t>
  </si>
  <si>
    <t>N354159</t>
  </si>
  <si>
    <t>Nidhi</t>
  </si>
  <si>
    <t>N358586</t>
  </si>
  <si>
    <t>Vyom</t>
  </si>
  <si>
    <t>N366209</t>
  </si>
  <si>
    <t>Manoj Kuamr</t>
  </si>
  <si>
    <t>N349467</t>
  </si>
  <si>
    <t>Preeti</t>
  </si>
  <si>
    <t>N366370</t>
  </si>
  <si>
    <t>Abhishek Kumar</t>
  </si>
  <si>
    <t>N345057</t>
  </si>
  <si>
    <t>RAVI</t>
  </si>
  <si>
    <t>N345332</t>
  </si>
  <si>
    <t>Mangesh Kumar</t>
  </si>
  <si>
    <t>N355171</t>
  </si>
  <si>
    <t>Gulshan</t>
  </si>
  <si>
    <t>N352974</t>
  </si>
  <si>
    <t>Veeran Kumar Ahirwar</t>
  </si>
  <si>
    <t>N345076</t>
  </si>
  <si>
    <t>Manoj Kumar</t>
  </si>
  <si>
    <t>N345321</t>
  </si>
  <si>
    <t>Rupesh Kumar</t>
  </si>
  <si>
    <t>N344806</t>
  </si>
  <si>
    <t>Manish Kumar</t>
  </si>
  <si>
    <t>N360176</t>
  </si>
  <si>
    <t>Dipesh Kumar Singh</t>
  </si>
  <si>
    <t>N344670</t>
  </si>
  <si>
    <t>Vishal</t>
  </si>
  <si>
    <t>N344812</t>
  </si>
  <si>
    <t>Rohit Kumar</t>
  </si>
  <si>
    <t>N347440</t>
  </si>
  <si>
    <t>Pankaj Kumar</t>
  </si>
  <si>
    <t>N366023</t>
  </si>
  <si>
    <t>Dharm Raj Chaudhary</t>
  </si>
  <si>
    <t>N355624</t>
  </si>
  <si>
    <t>RAHUL KUMAR</t>
  </si>
  <si>
    <t>N366382</t>
  </si>
  <si>
    <t>ASHUTOSH</t>
  </si>
  <si>
    <t>N344446</t>
  </si>
  <si>
    <t>Rahul Kumar</t>
  </si>
  <si>
    <t>N348676</t>
  </si>
  <si>
    <t>Sudheer Singh Yadav</t>
  </si>
  <si>
    <t>N348867</t>
  </si>
  <si>
    <t>MD. KAMAL</t>
  </si>
  <si>
    <t>N349878</t>
  </si>
  <si>
    <t>Pushpendra Singh</t>
  </si>
  <si>
    <t>N361358</t>
  </si>
  <si>
    <t>Rakesh Mishra</t>
  </si>
  <si>
    <t>N349305</t>
  </si>
  <si>
    <t>Santosh Kumar</t>
  </si>
  <si>
    <t>N350858</t>
  </si>
  <si>
    <t>Piyush Kukraja</t>
  </si>
  <si>
    <t>N351459</t>
  </si>
  <si>
    <t>Sunder</t>
  </si>
  <si>
    <t>N344591</t>
  </si>
  <si>
    <t>Sanjay</t>
  </si>
  <si>
    <t>N352581</t>
  </si>
  <si>
    <t>N353548</t>
  </si>
  <si>
    <t>Priti Kumari</t>
  </si>
  <si>
    <t>N355941</t>
  </si>
  <si>
    <t>N356771</t>
  </si>
  <si>
    <t>Nikhil Tiwari</t>
  </si>
  <si>
    <t>N366746</t>
  </si>
  <si>
    <t>Shabana Parveen</t>
  </si>
  <si>
    <t>N355908</t>
  </si>
  <si>
    <t>ABHISHEK</t>
  </si>
  <si>
    <t>N355961</t>
  </si>
  <si>
    <t>Jaswant Singh</t>
  </si>
  <si>
    <t>N356598</t>
  </si>
  <si>
    <t>Chandra Prakash</t>
  </si>
  <si>
    <t>N365965</t>
  </si>
  <si>
    <t>Abhishek</t>
  </si>
  <si>
    <t>N366262</t>
  </si>
  <si>
    <t>Anand Kumar</t>
  </si>
  <si>
    <t>E113075</t>
  </si>
  <si>
    <t>Bhuban Das</t>
  </si>
  <si>
    <t>E113082</t>
  </si>
  <si>
    <t>Aditya Raj</t>
  </si>
  <si>
    <t>E114296</t>
  </si>
  <si>
    <t>Bittu Kumar</t>
  </si>
  <si>
    <t>E112581</t>
  </si>
  <si>
    <t>Nitesh Kumar</t>
  </si>
  <si>
    <t>Baraut_OmNagar_D</t>
  </si>
  <si>
    <t>Coimbatore_Pudhupalayam_GW</t>
  </si>
  <si>
    <t>Delhi_Airport_GW</t>
  </si>
  <si>
    <t>Delhi_AlipurTemp_P</t>
  </si>
  <si>
    <t>Delhi_Bamnoli_INT</t>
  </si>
  <si>
    <t>Delhi_INTL</t>
  </si>
  <si>
    <t>Delhi_Libaspur_L</t>
  </si>
  <si>
    <t>Delhi_MayapuriPhase1_I</t>
  </si>
  <si>
    <t>Delhi_MundkaIndustArea_L</t>
  </si>
  <si>
    <t>Delhi_MundkaVillage_P</t>
  </si>
  <si>
    <t>Delhi_Sector31_L</t>
  </si>
  <si>
    <t>Faridabad_MathuraRoad_GW</t>
  </si>
  <si>
    <t>Faridabad_MathuraRoad_I</t>
  </si>
  <si>
    <t>Faridabad_Temp_P</t>
  </si>
  <si>
    <t>Gurgaon_PalamVihar_R</t>
  </si>
  <si>
    <t>Kanpur_Kataraghan_H</t>
  </si>
  <si>
    <t>Karimganj_Sabroom_D</t>
  </si>
  <si>
    <t>Patna_PhulwariSharif_D</t>
  </si>
  <si>
    <t>Sitamarhi_Punaura_D</t>
  </si>
  <si>
    <t>Field Executive</t>
  </si>
  <si>
    <t>Ground Coordinator</t>
  </si>
  <si>
    <t>Van field Executive</t>
  </si>
  <si>
    <t>Ground Loader</t>
  </si>
  <si>
    <t>88052210065972</t>
  </si>
  <si>
    <t>110222295441</t>
  </si>
  <si>
    <t>007010250859</t>
  </si>
  <si>
    <t>520101222881417</t>
  </si>
  <si>
    <t>50100405668203</t>
  </si>
  <si>
    <t>33972683112</t>
  </si>
  <si>
    <t>4056908594</t>
  </si>
  <si>
    <t>10068939980</t>
  </si>
  <si>
    <t>20004682187</t>
  </si>
  <si>
    <t>35261815961</t>
  </si>
  <si>
    <t>07040100039126</t>
  </si>
  <si>
    <t>0188001700058943</t>
  </si>
  <si>
    <t>7944001500001836</t>
  </si>
  <si>
    <t>07048100029532</t>
  </si>
  <si>
    <t>924010044549237</t>
  </si>
  <si>
    <t>57400100012277</t>
  </si>
  <si>
    <t>26130100038233</t>
  </si>
  <si>
    <t>39391038122</t>
  </si>
  <si>
    <t>0554053000000651</t>
  </si>
  <si>
    <t>6584001700046357</t>
  </si>
  <si>
    <t>1292000100282715</t>
  </si>
  <si>
    <t>53090100009971</t>
  </si>
  <si>
    <t>11414365100</t>
  </si>
  <si>
    <t>33158100052458</t>
  </si>
  <si>
    <t>2020000100169616</t>
  </si>
  <si>
    <t>614702120001555</t>
  </si>
  <si>
    <t>138422010001128</t>
  </si>
  <si>
    <t>131122010000727</t>
  </si>
  <si>
    <t>2706108015758</t>
  </si>
  <si>
    <t>41152944064</t>
  </si>
  <si>
    <t>49398100004869</t>
  </si>
  <si>
    <t>100180602916</t>
  </si>
  <si>
    <t>3649698409</t>
  </si>
  <si>
    <t>20320333113</t>
  </si>
  <si>
    <t>235701000020180</t>
  </si>
  <si>
    <t>008310164083</t>
  </si>
  <si>
    <t>50100570805622</t>
  </si>
  <si>
    <t>0052934520</t>
  </si>
  <si>
    <t>600810110013357</t>
  </si>
  <si>
    <t>50100653397659</t>
  </si>
  <si>
    <t>50100833062219</t>
  </si>
  <si>
    <t>100185519202</t>
  </si>
  <si>
    <t>602610110005060</t>
  </si>
  <si>
    <t>38885183971</t>
  </si>
  <si>
    <t>59145061472</t>
  </si>
  <si>
    <t>0156001700103646</t>
  </si>
  <si>
    <t>5950668003</t>
  </si>
  <si>
    <t>20448829745</t>
  </si>
  <si>
    <t>53818100003901</t>
  </si>
  <si>
    <t>7919295048</t>
  </si>
  <si>
    <t>38402000231</t>
  </si>
  <si>
    <t>5347117992</t>
  </si>
  <si>
    <t>183401000020346</t>
  </si>
  <si>
    <t>03042122000624</t>
  </si>
  <si>
    <t>76780100012342</t>
  </si>
  <si>
    <t>38070912989</t>
  </si>
  <si>
    <t>44474614899</t>
  </si>
  <si>
    <t>924010060053103</t>
  </si>
  <si>
    <t>058310166324</t>
  </si>
  <si>
    <t>52380100012563</t>
  </si>
  <si>
    <t>057610043011</t>
  </si>
  <si>
    <t>34361817361</t>
  </si>
  <si>
    <t>185712010001319</t>
  </si>
  <si>
    <t>009210212711</t>
  </si>
  <si>
    <t>8252235123</t>
  </si>
  <si>
    <t>101975842259</t>
  </si>
  <si>
    <t>102179459482</t>
  </si>
  <si>
    <t>5043945050</t>
  </si>
  <si>
    <t>101929629224</t>
  </si>
  <si>
    <t>101929555605</t>
  </si>
  <si>
    <t>102389527319</t>
  </si>
  <si>
    <t>101446655349</t>
  </si>
  <si>
    <t>6931440185</t>
  </si>
  <si>
    <t>102389353017</t>
  </si>
  <si>
    <t>101556516184</t>
  </si>
  <si>
    <t>6929809514</t>
  </si>
  <si>
    <t>102165896162</t>
  </si>
  <si>
    <t>2019631001</t>
  </si>
  <si>
    <t>102032029867</t>
  </si>
  <si>
    <t>2019296026</t>
  </si>
  <si>
    <t>102389368708</t>
  </si>
  <si>
    <t>102180854327</t>
  </si>
  <si>
    <t>6935933280</t>
  </si>
  <si>
    <t>102273457207</t>
  </si>
  <si>
    <t>1116711105</t>
  </si>
  <si>
    <t>101993168918</t>
  </si>
  <si>
    <t>6933943882</t>
  </si>
  <si>
    <t>102127598704</t>
  </si>
  <si>
    <t>6935333434</t>
  </si>
  <si>
    <t>101277724503</t>
  </si>
  <si>
    <t>102279199441</t>
  </si>
  <si>
    <t>1116670614</t>
  </si>
  <si>
    <t>101902486888</t>
  </si>
  <si>
    <t>2018942793</t>
  </si>
  <si>
    <t>102377370226</t>
  </si>
  <si>
    <t>102123310644</t>
  </si>
  <si>
    <t>1116481029</t>
  </si>
  <si>
    <t>102227140413</t>
  </si>
  <si>
    <t>2019766861</t>
  </si>
  <si>
    <t>101362054034</t>
  </si>
  <si>
    <t>6929251370</t>
  </si>
  <si>
    <t>101708988065</t>
  </si>
  <si>
    <t>101629460201</t>
  </si>
  <si>
    <t>1511131889</t>
  </si>
  <si>
    <t>101390195011</t>
  </si>
  <si>
    <t>102130323435</t>
  </si>
  <si>
    <t>4216381075</t>
  </si>
  <si>
    <t>101667962766</t>
  </si>
  <si>
    <t>102174219762</t>
  </si>
  <si>
    <t>102376790271</t>
  </si>
  <si>
    <t>102376714542</t>
  </si>
  <si>
    <t>102378768806</t>
  </si>
  <si>
    <t>102308721809</t>
  </si>
  <si>
    <t>100789281145</t>
  </si>
  <si>
    <t>102386094308</t>
  </si>
  <si>
    <t>102172865851</t>
  </si>
  <si>
    <t>101285962830</t>
  </si>
  <si>
    <t>101501583043</t>
  </si>
  <si>
    <t>101970525235</t>
  </si>
  <si>
    <t>2215140583</t>
  </si>
  <si>
    <t>102389707955</t>
  </si>
  <si>
    <t>2215000752</t>
  </si>
  <si>
    <t>101400374123</t>
  </si>
  <si>
    <t>101785264748</t>
  </si>
  <si>
    <t>101208311079</t>
  </si>
  <si>
    <t>101855119102</t>
  </si>
  <si>
    <t>102069563754</t>
  </si>
  <si>
    <t>2215092131</t>
  </si>
  <si>
    <t>101307441021</t>
  </si>
  <si>
    <t>102147949821</t>
  </si>
  <si>
    <t>102379355590</t>
  </si>
  <si>
    <t>101625837881</t>
  </si>
  <si>
    <t>102361925705</t>
  </si>
  <si>
    <t>102376511020</t>
  </si>
  <si>
    <t>101869450832</t>
  </si>
  <si>
    <t>6722223982</t>
  </si>
  <si>
    <t>102382833925</t>
  </si>
  <si>
    <t>6937464197</t>
  </si>
  <si>
    <t>102149155847</t>
  </si>
  <si>
    <t>1014961017</t>
  </si>
  <si>
    <t>101623917708</t>
  </si>
  <si>
    <t>6930346650</t>
  </si>
  <si>
    <t>102382275265</t>
  </si>
  <si>
    <t>101633606423</t>
  </si>
  <si>
    <t>101241041774</t>
  </si>
  <si>
    <t>2113346144</t>
  </si>
  <si>
    <t>101436320482</t>
  </si>
  <si>
    <t>4301762707</t>
  </si>
  <si>
    <t>102019020067</t>
  </si>
  <si>
    <t>4216922464</t>
  </si>
  <si>
    <t>102216087023</t>
  </si>
  <si>
    <t>Fixed Basic</t>
  </si>
  <si>
    <t>Fixed HRA</t>
  </si>
  <si>
    <t>Fixed Stat Bonus</t>
  </si>
  <si>
    <t>Fixed Special</t>
  </si>
  <si>
    <t>Fixed Gross</t>
  </si>
  <si>
    <t>Earn HRA</t>
  </si>
  <si>
    <t>Earn Special</t>
  </si>
  <si>
    <t>Earn Basic</t>
  </si>
  <si>
    <t>Arrears</t>
  </si>
  <si>
    <t>Incentive</t>
  </si>
  <si>
    <t>Performance</t>
  </si>
  <si>
    <t>Total Earn</t>
  </si>
  <si>
    <t>Advance</t>
  </si>
  <si>
    <t>Notice Pay</t>
  </si>
  <si>
    <t>Total Dedu</t>
  </si>
  <si>
    <t>EmployeeCode</t>
  </si>
  <si>
    <t>Earn Stat Bon</t>
  </si>
  <si>
    <t>Leave Encash</t>
  </si>
  <si>
    <t>Atte Bonus</t>
  </si>
  <si>
    <t>Mobile Allo</t>
  </si>
  <si>
    <t>Special Incentive</t>
  </si>
  <si>
    <t>Group Incentive</t>
  </si>
  <si>
    <t>Ship/COD Loss</t>
  </si>
  <si>
    <t>EWF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</si>
</sst>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vertical="center"/>
    </xf>
    <xf numFmtId="17" fontId="0" fillId="0" borderId="0" xfId="0" quotePrefix="1" applyNumberFormat="1"/>
    <xf numFmtId="0" fontId="2" fillId="0" borderId="1" xfId="0" applyFont="1" applyBorder="1"/>
    <xf numFmtId="164" fontId="2" fillId="0" borderId="1" xfId="1" applyNumberFormat="1" applyFont="1" applyFill="1" applyBorder="1" applyAlignment="1"/>
    <xf numFmtId="164" fontId="0" fillId="0" borderId="0" xfId="0" applyNumberFormat="1"/>
    <xf numFmtId="0" fontId="4" fillId="0" borderId="1" xfId="0" applyFont="1" applyBorder="1"/>
    <xf numFmtId="0" fontId="4" fillId="0" borderId="1" xfId="0" quotePrefix="1" applyFont="1" applyBorder="1"/>
    <xf numFmtId="1" fontId="2" fillId="0" borderId="1" xfId="0" quotePrefix="1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0" xfId="0" applyNumberFormat="1"/>
    <xf numFmtId="0" fontId="2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9"/>
  <sheetViews>
    <sheetView tabSelected="1" workbookViewId="0">
      <selection activeCell="C2" sqref="C2"/>
    </sheetView>
  </sheetViews>
  <sheetFormatPr defaultRowHeight="14.5" x14ac:dyDescent="0.35"/>
  <cols>
    <col min="8" max="8" width="12.7265625" style="10" bestFit="1" customWidth="1"/>
    <col min="9" max="9" width="11.08984375" style="10" bestFit="1" customWidth="1"/>
    <col min="14" max="14" width="10.1796875" bestFit="1" customWidth="1"/>
  </cols>
  <sheetData>
    <row r="1" spans="1:39" x14ac:dyDescent="0.35">
      <c r="A1" t="s">
        <v>339</v>
      </c>
      <c r="B1" t="s">
        <v>1</v>
      </c>
      <c r="C1" t="s">
        <v>0</v>
      </c>
      <c r="D1" t="s">
        <v>3</v>
      </c>
      <c r="E1" t="s">
        <v>14</v>
      </c>
      <c r="F1" t="s">
        <v>15</v>
      </c>
      <c r="G1" t="s">
        <v>13</v>
      </c>
      <c r="H1" s="10" t="s">
        <v>10</v>
      </c>
      <c r="I1" s="10" t="s">
        <v>11</v>
      </c>
      <c r="J1" t="s">
        <v>4</v>
      </c>
      <c r="K1" t="s">
        <v>5</v>
      </c>
      <c r="L1" t="s">
        <v>324</v>
      </c>
      <c r="M1" t="s">
        <v>325</v>
      </c>
      <c r="N1" t="s">
        <v>326</v>
      </c>
      <c r="O1" t="s">
        <v>327</v>
      </c>
      <c r="P1" t="s">
        <v>328</v>
      </c>
      <c r="Q1" t="s">
        <v>331</v>
      </c>
      <c r="R1" t="s">
        <v>329</v>
      </c>
      <c r="S1" t="s">
        <v>340</v>
      </c>
      <c r="T1" t="s">
        <v>330</v>
      </c>
      <c r="U1" t="s">
        <v>12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332</v>
      </c>
      <c r="AB1" t="s">
        <v>333</v>
      </c>
      <c r="AC1" s="1" t="s">
        <v>334</v>
      </c>
      <c r="AD1" t="s">
        <v>335</v>
      </c>
      <c r="AE1" t="s">
        <v>6</v>
      </c>
      <c r="AF1" t="s">
        <v>7</v>
      </c>
      <c r="AG1" t="s">
        <v>8</v>
      </c>
      <c r="AH1" t="s">
        <v>347</v>
      </c>
      <c r="AI1" t="s">
        <v>346</v>
      </c>
      <c r="AJ1" t="s">
        <v>336</v>
      </c>
      <c r="AK1" t="s">
        <v>337</v>
      </c>
      <c r="AL1" t="s">
        <v>338</v>
      </c>
      <c r="AM1" t="s">
        <v>9</v>
      </c>
    </row>
    <row r="2" spans="1:39" x14ac:dyDescent="0.35">
      <c r="A2" s="3" t="s">
        <v>17</v>
      </c>
      <c r="B2" t="s">
        <v>2</v>
      </c>
      <c r="C2" s="2" t="s">
        <v>16</v>
      </c>
      <c r="D2" s="3" t="s">
        <v>18</v>
      </c>
      <c r="E2" s="3" t="s">
        <v>169</v>
      </c>
      <c r="F2" s="3" t="s">
        <v>150</v>
      </c>
      <c r="G2" s="6" t="s">
        <v>173</v>
      </c>
      <c r="H2" s="8" t="s">
        <v>238</v>
      </c>
      <c r="I2" s="9">
        <v>2019110548</v>
      </c>
      <c r="J2">
        <v>30</v>
      </c>
      <c r="K2" s="3">
        <v>30</v>
      </c>
      <c r="L2" s="3">
        <v>13592</v>
      </c>
      <c r="M2" s="3">
        <v>0</v>
      </c>
      <c r="N2" s="3">
        <v>1132</v>
      </c>
      <c r="O2" s="3">
        <v>0</v>
      </c>
      <c r="P2" s="3">
        <v>14724</v>
      </c>
      <c r="Q2" s="4">
        <v>13592</v>
      </c>
      <c r="R2" s="4">
        <v>0</v>
      </c>
      <c r="S2" s="3">
        <v>1132</v>
      </c>
      <c r="T2" s="4">
        <v>0</v>
      </c>
      <c r="U2" s="5">
        <f t="shared" ref="U2:U65" si="0">+ROUND(SUM(Q2:T2),0)</f>
        <v>14724</v>
      </c>
      <c r="V2" s="3">
        <v>0</v>
      </c>
      <c r="W2" s="3">
        <v>1200</v>
      </c>
      <c r="X2" s="3">
        <v>250</v>
      </c>
      <c r="Y2" s="11">
        <v>0</v>
      </c>
      <c r="Z2" s="5"/>
      <c r="AA2" s="3"/>
      <c r="AB2" s="5"/>
      <c r="AC2" s="3">
        <v>0</v>
      </c>
      <c r="AD2" s="5">
        <f>+U2+AA2+AB2+AC2+V2+W2+X2+Y2+Z2</f>
        <v>16174</v>
      </c>
      <c r="AE2" s="4">
        <v>1631</v>
      </c>
      <c r="AF2" s="4">
        <v>102</v>
      </c>
      <c r="AG2" s="3">
        <v>0</v>
      </c>
      <c r="AH2" s="3">
        <v>20</v>
      </c>
      <c r="AI2" s="3">
        <v>0</v>
      </c>
      <c r="AJ2" s="3">
        <v>0</v>
      </c>
      <c r="AK2" s="4">
        <v>0</v>
      </c>
      <c r="AL2" s="5">
        <f>+ROUND(AJ2+AI2+AG2+AF2+AE2+AK2,0)+AH2</f>
        <v>1753</v>
      </c>
      <c r="AM2" s="5">
        <f t="shared" ref="AM2:AM33" si="1">+AD2-AL2</f>
        <v>14421</v>
      </c>
    </row>
    <row r="3" spans="1:39" x14ac:dyDescent="0.35">
      <c r="A3" s="3" t="s">
        <v>19</v>
      </c>
      <c r="B3" t="s">
        <v>2</v>
      </c>
      <c r="C3" s="2" t="s">
        <v>16</v>
      </c>
      <c r="D3" s="3" t="s">
        <v>20</v>
      </c>
      <c r="E3" s="3" t="s">
        <v>170</v>
      </c>
      <c r="F3" s="3" t="s">
        <v>151</v>
      </c>
      <c r="G3" s="6" t="s">
        <v>174</v>
      </c>
      <c r="H3" s="9" t="s">
        <v>239</v>
      </c>
      <c r="I3" s="9" t="s">
        <v>240</v>
      </c>
      <c r="J3">
        <v>30</v>
      </c>
      <c r="K3" s="3">
        <v>27.5</v>
      </c>
      <c r="L3" s="3">
        <v>14120</v>
      </c>
      <c r="M3" s="3">
        <v>1</v>
      </c>
      <c r="N3" s="3">
        <v>1176</v>
      </c>
      <c r="O3" s="3">
        <v>0</v>
      </c>
      <c r="P3" s="3">
        <v>15297</v>
      </c>
      <c r="Q3" s="4">
        <v>12943</v>
      </c>
      <c r="R3" s="4">
        <v>1</v>
      </c>
      <c r="S3" s="3">
        <v>1078</v>
      </c>
      <c r="T3" s="4">
        <v>0</v>
      </c>
      <c r="U3" s="5">
        <f t="shared" si="0"/>
        <v>14022</v>
      </c>
      <c r="V3" s="3">
        <v>0</v>
      </c>
      <c r="W3" s="3">
        <v>2000</v>
      </c>
      <c r="X3" s="3">
        <v>0</v>
      </c>
      <c r="Y3" s="11">
        <v>0</v>
      </c>
      <c r="Z3" s="5"/>
      <c r="AA3" s="3"/>
      <c r="AB3" s="5"/>
      <c r="AC3" s="3">
        <v>0</v>
      </c>
      <c r="AD3" s="5">
        <f t="shared" ref="AD3:AD66" si="2">+U3+AA3+AB3+AC3+V3+W3+X3+Y3+Z3</f>
        <v>16022</v>
      </c>
      <c r="AE3" s="4">
        <v>1553</v>
      </c>
      <c r="AF3" s="4">
        <v>97</v>
      </c>
      <c r="AG3" s="3">
        <v>208</v>
      </c>
      <c r="AH3" s="3">
        <v>20</v>
      </c>
      <c r="AI3" s="3">
        <v>0</v>
      </c>
      <c r="AJ3" s="3">
        <v>0</v>
      </c>
      <c r="AK3" s="4">
        <v>0</v>
      </c>
      <c r="AL3" s="5">
        <f t="shared" ref="AL3:AL66" si="3">+ROUND(AJ3+AI3+AG3+AF3+AE3+AK3,0)+AH3</f>
        <v>1878</v>
      </c>
      <c r="AM3" s="5">
        <f t="shared" si="1"/>
        <v>14144</v>
      </c>
    </row>
    <row r="4" spans="1:39" x14ac:dyDescent="0.35">
      <c r="A4" s="3" t="s">
        <v>21</v>
      </c>
      <c r="B4" t="s">
        <v>2</v>
      </c>
      <c r="C4" s="2" t="s">
        <v>16</v>
      </c>
      <c r="D4" s="3" t="s">
        <v>22</v>
      </c>
      <c r="E4" s="3" t="s">
        <v>170</v>
      </c>
      <c r="F4" s="3" t="s">
        <v>152</v>
      </c>
      <c r="G4" s="6" t="s">
        <v>175</v>
      </c>
      <c r="H4" s="8" t="s">
        <v>241</v>
      </c>
      <c r="I4" s="9">
        <v>1606945169</v>
      </c>
      <c r="J4">
        <v>30</v>
      </c>
      <c r="K4" s="3">
        <v>30</v>
      </c>
      <c r="L4" s="3">
        <v>20371</v>
      </c>
      <c r="M4" s="3">
        <v>0</v>
      </c>
      <c r="N4" s="3">
        <v>1697</v>
      </c>
      <c r="O4" s="3">
        <v>0</v>
      </c>
      <c r="P4" s="3">
        <v>22068</v>
      </c>
      <c r="Q4" s="4">
        <v>20371</v>
      </c>
      <c r="R4" s="4">
        <v>82</v>
      </c>
      <c r="S4" s="3">
        <v>1697</v>
      </c>
      <c r="T4" s="4">
        <v>0</v>
      </c>
      <c r="U4" s="5">
        <f t="shared" si="0"/>
        <v>22150</v>
      </c>
      <c r="V4" s="3">
        <v>1019</v>
      </c>
      <c r="W4" s="3">
        <v>0</v>
      </c>
      <c r="X4" s="3">
        <v>0</v>
      </c>
      <c r="Y4" s="11">
        <v>373</v>
      </c>
      <c r="Z4" s="5"/>
      <c r="AA4" s="3"/>
      <c r="AB4" s="5"/>
      <c r="AC4" s="3">
        <v>1170</v>
      </c>
      <c r="AD4" s="5">
        <f t="shared" si="2"/>
        <v>24712</v>
      </c>
      <c r="AE4" s="4">
        <v>2101</v>
      </c>
      <c r="AF4" s="4">
        <v>153</v>
      </c>
      <c r="AG4" s="3">
        <v>0</v>
      </c>
      <c r="AH4" s="3">
        <v>20</v>
      </c>
      <c r="AI4" s="3">
        <v>0</v>
      </c>
      <c r="AJ4" s="3">
        <v>0</v>
      </c>
      <c r="AK4" s="4">
        <v>0</v>
      </c>
      <c r="AL4" s="5">
        <f t="shared" si="3"/>
        <v>2274</v>
      </c>
      <c r="AM4" s="5">
        <f t="shared" si="1"/>
        <v>22438</v>
      </c>
    </row>
    <row r="5" spans="1:39" x14ac:dyDescent="0.35">
      <c r="A5" s="3" t="s">
        <v>23</v>
      </c>
      <c r="B5" t="s">
        <v>2</v>
      </c>
      <c r="C5" s="2" t="s">
        <v>16</v>
      </c>
      <c r="D5" s="3" t="s">
        <v>24</v>
      </c>
      <c r="E5" s="3" t="s">
        <v>170</v>
      </c>
      <c r="F5" s="3" t="s">
        <v>152</v>
      </c>
      <c r="G5" s="6" t="s">
        <v>176</v>
      </c>
      <c r="H5" s="9" t="s">
        <v>242</v>
      </c>
      <c r="I5" s="9">
        <v>2020047044</v>
      </c>
      <c r="J5">
        <v>30</v>
      </c>
      <c r="K5" s="3">
        <v>30</v>
      </c>
      <c r="L5" s="3">
        <v>20371</v>
      </c>
      <c r="M5" s="3">
        <v>0</v>
      </c>
      <c r="N5" s="3">
        <v>1697</v>
      </c>
      <c r="O5" s="3">
        <v>0</v>
      </c>
      <c r="P5" s="3">
        <v>22068</v>
      </c>
      <c r="Q5" s="4">
        <v>20371</v>
      </c>
      <c r="R5" s="4">
        <v>82</v>
      </c>
      <c r="S5" s="3">
        <v>1697</v>
      </c>
      <c r="T5" s="4">
        <v>0</v>
      </c>
      <c r="U5" s="5">
        <f t="shared" si="0"/>
        <v>22150</v>
      </c>
      <c r="V5" s="3">
        <v>0</v>
      </c>
      <c r="W5" s="3">
        <v>0</v>
      </c>
      <c r="X5" s="3">
        <v>0</v>
      </c>
      <c r="Y5" s="11">
        <v>373</v>
      </c>
      <c r="Z5" s="5"/>
      <c r="AA5" s="3"/>
      <c r="AB5" s="5"/>
      <c r="AC5" s="3">
        <v>270</v>
      </c>
      <c r="AD5" s="5">
        <f t="shared" si="2"/>
        <v>22793</v>
      </c>
      <c r="AE5" s="4">
        <v>2101</v>
      </c>
      <c r="AF5" s="4">
        <v>153</v>
      </c>
      <c r="AG5" s="3">
        <v>0</v>
      </c>
      <c r="AH5" s="3">
        <v>20</v>
      </c>
      <c r="AI5" s="3">
        <v>0</v>
      </c>
      <c r="AJ5" s="3">
        <v>0</v>
      </c>
      <c r="AK5" s="4">
        <v>0</v>
      </c>
      <c r="AL5" s="5">
        <f t="shared" si="3"/>
        <v>2274</v>
      </c>
      <c r="AM5" s="5">
        <f t="shared" si="1"/>
        <v>20519</v>
      </c>
    </row>
    <row r="6" spans="1:39" x14ac:dyDescent="0.35">
      <c r="A6" s="3" t="s">
        <v>25</v>
      </c>
      <c r="B6" t="s">
        <v>2</v>
      </c>
      <c r="C6" s="2" t="s">
        <v>16</v>
      </c>
      <c r="D6" s="3" t="s">
        <v>26</v>
      </c>
      <c r="E6" s="3" t="s">
        <v>170</v>
      </c>
      <c r="F6" s="3" t="s">
        <v>152</v>
      </c>
      <c r="G6" s="6" t="s">
        <v>177</v>
      </c>
      <c r="H6" s="9" t="s">
        <v>243</v>
      </c>
      <c r="I6" s="9">
        <v>2020047061</v>
      </c>
      <c r="J6">
        <v>30</v>
      </c>
      <c r="K6" s="3">
        <v>30</v>
      </c>
      <c r="L6" s="3">
        <v>20371</v>
      </c>
      <c r="M6" s="3">
        <v>0</v>
      </c>
      <c r="N6" s="3">
        <v>1697</v>
      </c>
      <c r="O6" s="3">
        <v>0</v>
      </c>
      <c r="P6" s="3">
        <v>22068</v>
      </c>
      <c r="Q6" s="4">
        <v>20371</v>
      </c>
      <c r="R6" s="4">
        <v>82</v>
      </c>
      <c r="S6" s="3">
        <v>1697</v>
      </c>
      <c r="T6" s="4">
        <v>0</v>
      </c>
      <c r="U6" s="5">
        <f t="shared" si="0"/>
        <v>22150</v>
      </c>
      <c r="V6" s="3">
        <v>0</v>
      </c>
      <c r="W6" s="3">
        <v>0</v>
      </c>
      <c r="X6" s="3">
        <v>0</v>
      </c>
      <c r="Y6" s="11">
        <v>373</v>
      </c>
      <c r="Z6" s="5"/>
      <c r="AA6" s="3"/>
      <c r="AB6" s="5"/>
      <c r="AC6" s="3">
        <v>90</v>
      </c>
      <c r="AD6" s="5">
        <f t="shared" si="2"/>
        <v>22613</v>
      </c>
      <c r="AE6" s="4">
        <v>2101</v>
      </c>
      <c r="AF6" s="4">
        <v>153</v>
      </c>
      <c r="AG6" s="3">
        <v>0</v>
      </c>
      <c r="AH6" s="3">
        <v>20</v>
      </c>
      <c r="AI6" s="3">
        <v>0</v>
      </c>
      <c r="AJ6" s="3">
        <v>0</v>
      </c>
      <c r="AK6" s="4">
        <v>0</v>
      </c>
      <c r="AL6" s="5">
        <f t="shared" si="3"/>
        <v>2274</v>
      </c>
      <c r="AM6" s="5">
        <f t="shared" si="1"/>
        <v>20339</v>
      </c>
    </row>
    <row r="7" spans="1:39" x14ac:dyDescent="0.35">
      <c r="A7" s="3" t="s">
        <v>27</v>
      </c>
      <c r="B7" t="s">
        <v>2</v>
      </c>
      <c r="C7" s="2" t="s">
        <v>16</v>
      </c>
      <c r="D7" s="3" t="s">
        <v>28</v>
      </c>
      <c r="E7" s="3" t="s">
        <v>170</v>
      </c>
      <c r="F7" s="3" t="s">
        <v>152</v>
      </c>
      <c r="G7" s="6" t="s">
        <v>178</v>
      </c>
      <c r="H7" s="9" t="s">
        <v>244</v>
      </c>
      <c r="I7" s="9" t="s">
        <v>245</v>
      </c>
      <c r="J7">
        <v>30</v>
      </c>
      <c r="K7" s="3">
        <v>30</v>
      </c>
      <c r="L7" s="3">
        <v>20371</v>
      </c>
      <c r="M7" s="3">
        <v>0</v>
      </c>
      <c r="N7" s="3">
        <v>1697</v>
      </c>
      <c r="O7" s="3">
        <v>0</v>
      </c>
      <c r="P7" s="3">
        <v>22068</v>
      </c>
      <c r="Q7" s="4">
        <v>20371</v>
      </c>
      <c r="R7" s="4">
        <v>82</v>
      </c>
      <c r="S7" s="3">
        <v>1697</v>
      </c>
      <c r="T7" s="4">
        <v>0</v>
      </c>
      <c r="U7" s="5">
        <f t="shared" si="0"/>
        <v>22150</v>
      </c>
      <c r="V7" s="3">
        <v>0</v>
      </c>
      <c r="W7" s="3">
        <v>0</v>
      </c>
      <c r="X7" s="3">
        <v>0</v>
      </c>
      <c r="Y7" s="11">
        <v>373</v>
      </c>
      <c r="Z7" s="5"/>
      <c r="AA7" s="3"/>
      <c r="AB7" s="5"/>
      <c r="AC7" s="3">
        <v>0</v>
      </c>
      <c r="AD7" s="5">
        <f t="shared" si="2"/>
        <v>22523</v>
      </c>
      <c r="AE7" s="4">
        <v>2101</v>
      </c>
      <c r="AF7" s="4">
        <v>153</v>
      </c>
      <c r="AG7" s="3">
        <v>0</v>
      </c>
      <c r="AH7" s="3">
        <v>20</v>
      </c>
      <c r="AI7" s="3">
        <v>0</v>
      </c>
      <c r="AJ7" s="3">
        <v>0</v>
      </c>
      <c r="AK7" s="4">
        <v>0</v>
      </c>
      <c r="AL7" s="5">
        <f t="shared" si="3"/>
        <v>2274</v>
      </c>
      <c r="AM7" s="5">
        <f t="shared" si="1"/>
        <v>20249</v>
      </c>
    </row>
    <row r="8" spans="1:39" x14ac:dyDescent="0.35">
      <c r="A8" s="3" t="s">
        <v>29</v>
      </c>
      <c r="B8" t="s">
        <v>2</v>
      </c>
      <c r="C8" s="2" t="s">
        <v>16</v>
      </c>
      <c r="D8" s="3" t="s">
        <v>30</v>
      </c>
      <c r="E8" s="3" t="s">
        <v>170</v>
      </c>
      <c r="F8" s="3" t="s">
        <v>152</v>
      </c>
      <c r="G8" s="6" t="s">
        <v>179</v>
      </c>
      <c r="H8" s="9" t="s">
        <v>246</v>
      </c>
      <c r="I8" s="9">
        <v>2020047038</v>
      </c>
      <c r="J8">
        <v>30</v>
      </c>
      <c r="K8" s="3">
        <v>29</v>
      </c>
      <c r="L8" s="3">
        <v>20371</v>
      </c>
      <c r="M8" s="3">
        <v>0</v>
      </c>
      <c r="N8" s="3">
        <v>1697</v>
      </c>
      <c r="O8" s="3">
        <v>0</v>
      </c>
      <c r="P8" s="3">
        <v>22068</v>
      </c>
      <c r="Q8" s="4">
        <v>19692</v>
      </c>
      <c r="R8" s="4">
        <v>77</v>
      </c>
      <c r="S8" s="3">
        <v>1640</v>
      </c>
      <c r="T8" s="4">
        <v>0</v>
      </c>
      <c r="U8" s="5">
        <f t="shared" si="0"/>
        <v>21409</v>
      </c>
      <c r="V8" s="3">
        <v>0</v>
      </c>
      <c r="W8" s="3">
        <v>0</v>
      </c>
      <c r="X8" s="3">
        <v>0</v>
      </c>
      <c r="Y8" s="11">
        <v>373</v>
      </c>
      <c r="Z8" s="5"/>
      <c r="AA8" s="3"/>
      <c r="AB8" s="5"/>
      <c r="AC8" s="3">
        <v>270</v>
      </c>
      <c r="AD8" s="5">
        <f t="shared" si="2"/>
        <v>22052</v>
      </c>
      <c r="AE8" s="4">
        <v>2041</v>
      </c>
      <c r="AF8" s="4">
        <v>148</v>
      </c>
      <c r="AG8" s="3">
        <v>0</v>
      </c>
      <c r="AH8" s="3">
        <v>20</v>
      </c>
      <c r="AI8" s="3">
        <v>0</v>
      </c>
      <c r="AJ8" s="3">
        <v>0</v>
      </c>
      <c r="AK8" s="4">
        <v>0</v>
      </c>
      <c r="AL8" s="5">
        <f t="shared" si="3"/>
        <v>2209</v>
      </c>
      <c r="AM8" s="5">
        <f t="shared" si="1"/>
        <v>19843</v>
      </c>
    </row>
    <row r="9" spans="1:39" x14ac:dyDescent="0.35">
      <c r="A9" s="3" t="s">
        <v>31</v>
      </c>
      <c r="B9" t="s">
        <v>2</v>
      </c>
      <c r="C9" s="2" t="s">
        <v>16</v>
      </c>
      <c r="D9" s="3" t="s">
        <v>32</v>
      </c>
      <c r="E9" s="3" t="s">
        <v>169</v>
      </c>
      <c r="F9" s="3" t="s">
        <v>152</v>
      </c>
      <c r="G9" s="6" t="s">
        <v>180</v>
      </c>
      <c r="H9" s="9" t="s">
        <v>247</v>
      </c>
      <c r="I9" s="9" t="s">
        <v>248</v>
      </c>
      <c r="J9">
        <v>30</v>
      </c>
      <c r="K9" s="3">
        <v>29</v>
      </c>
      <c r="L9" s="3">
        <v>20371</v>
      </c>
      <c r="M9" s="3">
        <v>0</v>
      </c>
      <c r="N9" s="3">
        <v>1697</v>
      </c>
      <c r="O9" s="3">
        <v>0</v>
      </c>
      <c r="P9" s="3">
        <v>22068</v>
      </c>
      <c r="Q9" s="4">
        <v>19692</v>
      </c>
      <c r="R9" s="4">
        <v>77</v>
      </c>
      <c r="S9" s="3">
        <v>1640</v>
      </c>
      <c r="T9" s="4">
        <v>0</v>
      </c>
      <c r="U9" s="5">
        <f t="shared" si="0"/>
        <v>21409</v>
      </c>
      <c r="V9" s="3">
        <v>0</v>
      </c>
      <c r="W9" s="3">
        <v>0</v>
      </c>
      <c r="X9" s="3">
        <v>250</v>
      </c>
      <c r="Y9" s="11">
        <v>373</v>
      </c>
      <c r="Z9" s="5"/>
      <c r="AA9" s="3"/>
      <c r="AB9" s="5"/>
      <c r="AC9" s="3">
        <v>0</v>
      </c>
      <c r="AD9" s="5">
        <f t="shared" si="2"/>
        <v>22032</v>
      </c>
      <c r="AE9" s="4">
        <v>2041</v>
      </c>
      <c r="AF9" s="4">
        <v>148</v>
      </c>
      <c r="AG9" s="3">
        <v>0</v>
      </c>
      <c r="AH9" s="3">
        <v>20</v>
      </c>
      <c r="AI9" s="3">
        <v>0</v>
      </c>
      <c r="AJ9" s="3">
        <v>0</v>
      </c>
      <c r="AK9" s="4">
        <v>0</v>
      </c>
      <c r="AL9" s="5">
        <f t="shared" si="3"/>
        <v>2209</v>
      </c>
      <c r="AM9" s="5">
        <f t="shared" si="1"/>
        <v>19823</v>
      </c>
    </row>
    <row r="10" spans="1:39" x14ac:dyDescent="0.35">
      <c r="A10" s="3" t="s">
        <v>33</v>
      </c>
      <c r="B10" t="s">
        <v>2</v>
      </c>
      <c r="C10" s="2" t="s">
        <v>16</v>
      </c>
      <c r="D10" s="3" t="s">
        <v>34</v>
      </c>
      <c r="E10" s="3" t="s">
        <v>170</v>
      </c>
      <c r="F10" s="3" t="s">
        <v>152</v>
      </c>
      <c r="G10" s="6" t="s">
        <v>181</v>
      </c>
      <c r="H10" s="9" t="s">
        <v>249</v>
      </c>
      <c r="I10" s="9" t="s">
        <v>250</v>
      </c>
      <c r="J10">
        <v>30</v>
      </c>
      <c r="K10" s="3">
        <v>29</v>
      </c>
      <c r="L10" s="3">
        <v>20371</v>
      </c>
      <c r="M10" s="3">
        <v>0</v>
      </c>
      <c r="N10" s="3">
        <v>1697</v>
      </c>
      <c r="O10" s="3">
        <v>0</v>
      </c>
      <c r="P10" s="3">
        <v>22068</v>
      </c>
      <c r="Q10" s="4">
        <v>19692</v>
      </c>
      <c r="R10" s="4">
        <v>82</v>
      </c>
      <c r="S10" s="3">
        <v>1640</v>
      </c>
      <c r="T10" s="4">
        <v>0</v>
      </c>
      <c r="U10" s="5">
        <f t="shared" si="0"/>
        <v>21414</v>
      </c>
      <c r="V10" s="3">
        <v>0</v>
      </c>
      <c r="W10" s="3">
        <v>0</v>
      </c>
      <c r="X10" s="3">
        <v>0</v>
      </c>
      <c r="Y10" s="11">
        <v>346</v>
      </c>
      <c r="Z10" s="5"/>
      <c r="AA10" s="3"/>
      <c r="AB10" s="5"/>
      <c r="AC10" s="3">
        <v>90</v>
      </c>
      <c r="AD10" s="5">
        <f t="shared" si="2"/>
        <v>21850</v>
      </c>
      <c r="AE10" s="4">
        <v>2019</v>
      </c>
      <c r="AF10" s="4">
        <v>148</v>
      </c>
      <c r="AG10" s="3">
        <v>0</v>
      </c>
      <c r="AH10" s="3">
        <v>20</v>
      </c>
      <c r="AI10" s="3">
        <v>0</v>
      </c>
      <c r="AJ10" s="3">
        <v>0</v>
      </c>
      <c r="AK10" s="4">
        <v>0</v>
      </c>
      <c r="AL10" s="5">
        <f t="shared" si="3"/>
        <v>2187</v>
      </c>
      <c r="AM10" s="5">
        <f t="shared" si="1"/>
        <v>19663</v>
      </c>
    </row>
    <row r="11" spans="1:39" x14ac:dyDescent="0.35">
      <c r="A11" s="3" t="s">
        <v>35</v>
      </c>
      <c r="B11" t="s">
        <v>2</v>
      </c>
      <c r="C11" s="2" t="s">
        <v>16</v>
      </c>
      <c r="D11" s="3" t="s">
        <v>36</v>
      </c>
      <c r="E11" s="3" t="s">
        <v>170</v>
      </c>
      <c r="F11" s="3" t="s">
        <v>152</v>
      </c>
      <c r="G11" s="6" t="s">
        <v>182</v>
      </c>
      <c r="H11" s="9" t="s">
        <v>251</v>
      </c>
      <c r="I11" s="9" t="s">
        <v>252</v>
      </c>
      <c r="J11">
        <v>30</v>
      </c>
      <c r="K11" s="3">
        <v>27</v>
      </c>
      <c r="L11" s="3">
        <v>20371</v>
      </c>
      <c r="M11" s="3">
        <v>0</v>
      </c>
      <c r="N11" s="3">
        <v>1697</v>
      </c>
      <c r="O11" s="3">
        <v>0</v>
      </c>
      <c r="P11" s="3">
        <v>22068</v>
      </c>
      <c r="Q11" s="4">
        <v>18334</v>
      </c>
      <c r="R11" s="4">
        <v>72</v>
      </c>
      <c r="S11" s="3">
        <v>1527</v>
      </c>
      <c r="T11" s="4">
        <v>0</v>
      </c>
      <c r="U11" s="5">
        <f t="shared" si="0"/>
        <v>19933</v>
      </c>
      <c r="V11" s="3">
        <v>340</v>
      </c>
      <c r="W11" s="3">
        <v>0</v>
      </c>
      <c r="X11" s="3">
        <v>0</v>
      </c>
      <c r="Y11" s="11">
        <v>346</v>
      </c>
      <c r="Z11" s="5"/>
      <c r="AA11" s="3"/>
      <c r="AB11" s="5"/>
      <c r="AC11" s="3">
        <v>630</v>
      </c>
      <c r="AD11" s="5">
        <f t="shared" si="2"/>
        <v>21249</v>
      </c>
      <c r="AE11" s="4">
        <v>1899</v>
      </c>
      <c r="AF11" s="4">
        <v>138</v>
      </c>
      <c r="AG11" s="3">
        <v>0</v>
      </c>
      <c r="AH11" s="3">
        <v>20</v>
      </c>
      <c r="AI11" s="3">
        <v>0</v>
      </c>
      <c r="AJ11" s="3">
        <v>0</v>
      </c>
      <c r="AK11" s="4">
        <v>0</v>
      </c>
      <c r="AL11" s="5">
        <f t="shared" si="3"/>
        <v>2057</v>
      </c>
      <c r="AM11" s="5">
        <f t="shared" si="1"/>
        <v>19192</v>
      </c>
    </row>
    <row r="12" spans="1:39" x14ac:dyDescent="0.35">
      <c r="A12" s="3" t="s">
        <v>37</v>
      </c>
      <c r="B12" t="s">
        <v>2</v>
      </c>
      <c r="C12" s="2" t="s">
        <v>16</v>
      </c>
      <c r="D12" s="3" t="s">
        <v>38</v>
      </c>
      <c r="E12" s="3" t="s">
        <v>170</v>
      </c>
      <c r="F12" s="3" t="s">
        <v>152</v>
      </c>
      <c r="G12" s="6" t="s">
        <v>183</v>
      </c>
      <c r="H12" s="9" t="s">
        <v>253</v>
      </c>
      <c r="I12" s="9">
        <v>2020047050</v>
      </c>
      <c r="J12">
        <v>30</v>
      </c>
      <c r="K12" s="3">
        <v>28</v>
      </c>
      <c r="L12" s="3">
        <v>20371</v>
      </c>
      <c r="M12" s="3">
        <v>0</v>
      </c>
      <c r="N12" s="3">
        <v>1697</v>
      </c>
      <c r="O12" s="3">
        <v>0</v>
      </c>
      <c r="P12" s="3">
        <v>22068</v>
      </c>
      <c r="Q12" s="4">
        <v>19013</v>
      </c>
      <c r="R12" s="4">
        <v>77</v>
      </c>
      <c r="S12" s="3">
        <v>1584</v>
      </c>
      <c r="T12" s="4">
        <v>0</v>
      </c>
      <c r="U12" s="5">
        <f t="shared" si="0"/>
        <v>20674</v>
      </c>
      <c r="V12" s="3">
        <v>0</v>
      </c>
      <c r="W12" s="3">
        <v>0</v>
      </c>
      <c r="X12" s="3">
        <v>0</v>
      </c>
      <c r="Y12" s="11">
        <v>346</v>
      </c>
      <c r="Z12" s="5"/>
      <c r="AA12" s="3"/>
      <c r="AB12" s="5"/>
      <c r="AC12" s="3">
        <v>180</v>
      </c>
      <c r="AD12" s="5">
        <f t="shared" si="2"/>
        <v>21200</v>
      </c>
      <c r="AE12" s="4">
        <v>1959</v>
      </c>
      <c r="AF12" s="4">
        <v>143</v>
      </c>
      <c r="AG12" s="3">
        <v>0</v>
      </c>
      <c r="AH12" s="3">
        <v>20</v>
      </c>
      <c r="AI12" s="3">
        <v>0</v>
      </c>
      <c r="AJ12" s="3">
        <v>0</v>
      </c>
      <c r="AK12" s="4">
        <v>0</v>
      </c>
      <c r="AL12" s="5">
        <f t="shared" si="3"/>
        <v>2122</v>
      </c>
      <c r="AM12" s="5">
        <f t="shared" si="1"/>
        <v>19078</v>
      </c>
    </row>
    <row r="13" spans="1:39" x14ac:dyDescent="0.35">
      <c r="A13" s="3" t="s">
        <v>39</v>
      </c>
      <c r="B13" t="s">
        <v>2</v>
      </c>
      <c r="C13" s="2" t="s">
        <v>16</v>
      </c>
      <c r="D13" s="3" t="s">
        <v>40</v>
      </c>
      <c r="E13" s="3" t="s">
        <v>170</v>
      </c>
      <c r="F13" s="3" t="s">
        <v>152</v>
      </c>
      <c r="G13" s="6" t="s">
        <v>184</v>
      </c>
      <c r="H13" s="9" t="s">
        <v>254</v>
      </c>
      <c r="I13" s="9" t="s">
        <v>255</v>
      </c>
      <c r="J13">
        <v>30</v>
      </c>
      <c r="K13" s="3">
        <v>27</v>
      </c>
      <c r="L13" s="3">
        <v>20371</v>
      </c>
      <c r="M13" s="3">
        <v>0</v>
      </c>
      <c r="N13" s="3">
        <v>1697</v>
      </c>
      <c r="O13" s="3">
        <v>0</v>
      </c>
      <c r="P13" s="3">
        <v>22068</v>
      </c>
      <c r="Q13" s="4">
        <v>18334</v>
      </c>
      <c r="R13" s="4">
        <v>67</v>
      </c>
      <c r="S13" s="3">
        <v>1527</v>
      </c>
      <c r="T13" s="4">
        <v>0</v>
      </c>
      <c r="U13" s="5">
        <f t="shared" si="0"/>
        <v>19928</v>
      </c>
      <c r="V13" s="3">
        <v>0</v>
      </c>
      <c r="W13" s="3">
        <v>0</v>
      </c>
      <c r="X13" s="3">
        <v>0</v>
      </c>
      <c r="Y13" s="11">
        <v>373</v>
      </c>
      <c r="Z13" s="5"/>
      <c r="AA13" s="3"/>
      <c r="AB13" s="5"/>
      <c r="AC13" s="3">
        <v>90</v>
      </c>
      <c r="AD13" s="5">
        <f t="shared" si="2"/>
        <v>20391</v>
      </c>
      <c r="AE13" s="4">
        <v>1921</v>
      </c>
      <c r="AF13" s="4">
        <v>138</v>
      </c>
      <c r="AG13" s="3">
        <v>0</v>
      </c>
      <c r="AH13" s="3">
        <v>20</v>
      </c>
      <c r="AI13" s="3">
        <v>0</v>
      </c>
      <c r="AJ13" s="3">
        <v>0</v>
      </c>
      <c r="AK13" s="4">
        <v>0</v>
      </c>
      <c r="AL13" s="5">
        <f t="shared" si="3"/>
        <v>2079</v>
      </c>
      <c r="AM13" s="5">
        <f t="shared" si="1"/>
        <v>18312</v>
      </c>
    </row>
    <row r="14" spans="1:39" x14ac:dyDescent="0.35">
      <c r="A14" s="3" t="s">
        <v>41</v>
      </c>
      <c r="B14" t="s">
        <v>2</v>
      </c>
      <c r="C14" s="2" t="s">
        <v>16</v>
      </c>
      <c r="D14" s="3" t="s">
        <v>42</v>
      </c>
      <c r="E14" s="3" t="s">
        <v>170</v>
      </c>
      <c r="F14" s="3" t="s">
        <v>152</v>
      </c>
      <c r="G14" s="6" t="s">
        <v>185</v>
      </c>
      <c r="H14" s="9" t="s">
        <v>256</v>
      </c>
      <c r="I14" s="9" t="s">
        <v>257</v>
      </c>
      <c r="J14">
        <v>30</v>
      </c>
      <c r="K14" s="3">
        <v>22</v>
      </c>
      <c r="L14" s="3">
        <v>20371</v>
      </c>
      <c r="M14" s="3">
        <v>0</v>
      </c>
      <c r="N14" s="3">
        <v>1697</v>
      </c>
      <c r="O14" s="3">
        <v>0</v>
      </c>
      <c r="P14" s="3">
        <v>22068</v>
      </c>
      <c r="Q14" s="4">
        <v>14939</v>
      </c>
      <c r="R14" s="4">
        <v>82</v>
      </c>
      <c r="S14" s="3">
        <v>1244</v>
      </c>
      <c r="T14" s="4">
        <v>0</v>
      </c>
      <c r="U14" s="5">
        <f t="shared" si="0"/>
        <v>16265</v>
      </c>
      <c r="V14" s="3">
        <v>340</v>
      </c>
      <c r="W14" s="3">
        <v>0</v>
      </c>
      <c r="X14" s="3">
        <v>0</v>
      </c>
      <c r="Y14" s="11">
        <v>160</v>
      </c>
      <c r="Z14" s="5"/>
      <c r="AA14" s="3"/>
      <c r="AB14" s="5"/>
      <c r="AC14" s="3">
        <v>360</v>
      </c>
      <c r="AD14" s="5">
        <f t="shared" si="2"/>
        <v>17125</v>
      </c>
      <c r="AE14" s="4">
        <v>1449</v>
      </c>
      <c r="AF14" s="4">
        <v>112</v>
      </c>
      <c r="AG14" s="3">
        <v>0</v>
      </c>
      <c r="AH14" s="3">
        <v>20</v>
      </c>
      <c r="AI14" s="3">
        <v>0</v>
      </c>
      <c r="AJ14" s="3">
        <v>0</v>
      </c>
      <c r="AK14" s="4">
        <v>0</v>
      </c>
      <c r="AL14" s="5">
        <f t="shared" si="3"/>
        <v>1581</v>
      </c>
      <c r="AM14" s="5">
        <f t="shared" si="1"/>
        <v>15544</v>
      </c>
    </row>
    <row r="15" spans="1:39" x14ac:dyDescent="0.35">
      <c r="A15" s="3" t="s">
        <v>43</v>
      </c>
      <c r="B15" t="s">
        <v>2</v>
      </c>
      <c r="C15" s="2" t="s">
        <v>16</v>
      </c>
      <c r="D15" s="3" t="s">
        <v>44</v>
      </c>
      <c r="E15" s="3" t="s">
        <v>170</v>
      </c>
      <c r="F15" s="3" t="s">
        <v>152</v>
      </c>
      <c r="G15" s="6" t="s">
        <v>186</v>
      </c>
      <c r="H15" s="9" t="s">
        <v>258</v>
      </c>
      <c r="I15" s="9" t="s">
        <v>259</v>
      </c>
      <c r="J15">
        <v>30</v>
      </c>
      <c r="K15" s="3">
        <v>19</v>
      </c>
      <c r="L15" s="3">
        <v>20371</v>
      </c>
      <c r="M15" s="3">
        <v>0</v>
      </c>
      <c r="N15" s="3">
        <v>1697</v>
      </c>
      <c r="O15" s="3">
        <v>0</v>
      </c>
      <c r="P15" s="3">
        <v>22068</v>
      </c>
      <c r="Q15" s="4">
        <v>12902</v>
      </c>
      <c r="R15" s="4">
        <v>26</v>
      </c>
      <c r="S15" s="3">
        <v>1075</v>
      </c>
      <c r="T15" s="4">
        <v>0</v>
      </c>
      <c r="U15" s="5">
        <f t="shared" si="0"/>
        <v>14003</v>
      </c>
      <c r="V15" s="3">
        <v>0</v>
      </c>
      <c r="W15" s="3">
        <v>0</v>
      </c>
      <c r="X15" s="3">
        <v>0</v>
      </c>
      <c r="Y15" s="11">
        <v>373</v>
      </c>
      <c r="Z15" s="5"/>
      <c r="AA15" s="3"/>
      <c r="AB15" s="5"/>
      <c r="AC15" s="3">
        <v>90</v>
      </c>
      <c r="AD15" s="5">
        <f t="shared" si="2"/>
        <v>14466</v>
      </c>
      <c r="AE15" s="4">
        <v>1441</v>
      </c>
      <c r="AF15" s="4">
        <v>97</v>
      </c>
      <c r="AG15" s="3">
        <v>0</v>
      </c>
      <c r="AH15" s="3">
        <v>20</v>
      </c>
      <c r="AI15" s="3">
        <v>0</v>
      </c>
      <c r="AJ15" s="3">
        <v>0</v>
      </c>
      <c r="AK15" s="4">
        <v>0</v>
      </c>
      <c r="AL15" s="5">
        <f t="shared" si="3"/>
        <v>1558</v>
      </c>
      <c r="AM15" s="5">
        <f t="shared" si="1"/>
        <v>12908</v>
      </c>
    </row>
    <row r="16" spans="1:39" x14ac:dyDescent="0.35">
      <c r="A16" s="3" t="s">
        <v>45</v>
      </c>
      <c r="B16" t="s">
        <v>2</v>
      </c>
      <c r="C16" s="2" t="s">
        <v>16</v>
      </c>
      <c r="D16" s="3" t="s">
        <v>46</v>
      </c>
      <c r="E16" s="3" t="s">
        <v>170</v>
      </c>
      <c r="F16" s="3" t="s">
        <v>152</v>
      </c>
      <c r="G16" s="6" t="s">
        <v>187</v>
      </c>
      <c r="H16" s="9" t="s">
        <v>260</v>
      </c>
      <c r="I16" s="9" t="s">
        <v>261</v>
      </c>
      <c r="J16">
        <v>30</v>
      </c>
      <c r="K16" s="3">
        <v>18</v>
      </c>
      <c r="L16" s="3">
        <v>20371</v>
      </c>
      <c r="M16" s="3">
        <v>0</v>
      </c>
      <c r="N16" s="3">
        <v>1697</v>
      </c>
      <c r="O16" s="3">
        <v>0</v>
      </c>
      <c r="P16" s="3">
        <v>22068</v>
      </c>
      <c r="Q16" s="4">
        <v>12223</v>
      </c>
      <c r="R16" s="4">
        <v>82</v>
      </c>
      <c r="S16" s="3">
        <v>1018</v>
      </c>
      <c r="T16" s="4">
        <v>0</v>
      </c>
      <c r="U16" s="5">
        <f t="shared" si="0"/>
        <v>13323</v>
      </c>
      <c r="V16" s="3">
        <v>0</v>
      </c>
      <c r="W16" s="3">
        <v>0</v>
      </c>
      <c r="X16" s="3">
        <v>0</v>
      </c>
      <c r="Y16" s="11">
        <v>53</v>
      </c>
      <c r="Z16" s="5"/>
      <c r="AA16" s="3"/>
      <c r="AB16" s="5"/>
      <c r="AC16" s="3">
        <v>360</v>
      </c>
      <c r="AD16" s="5">
        <f t="shared" si="2"/>
        <v>13736</v>
      </c>
      <c r="AE16" s="4">
        <v>1123</v>
      </c>
      <c r="AF16" s="4">
        <v>92</v>
      </c>
      <c r="AG16" s="3">
        <v>0</v>
      </c>
      <c r="AH16" s="3">
        <v>20</v>
      </c>
      <c r="AI16" s="3">
        <v>0</v>
      </c>
      <c r="AJ16" s="3">
        <v>0</v>
      </c>
      <c r="AK16" s="4">
        <v>0</v>
      </c>
      <c r="AL16" s="5">
        <f t="shared" si="3"/>
        <v>1235</v>
      </c>
      <c r="AM16" s="5">
        <f t="shared" si="1"/>
        <v>12501</v>
      </c>
    </row>
    <row r="17" spans="1:39" x14ac:dyDescent="0.35">
      <c r="A17" s="3" t="s">
        <v>47</v>
      </c>
      <c r="B17" t="s">
        <v>2</v>
      </c>
      <c r="C17" s="2" t="s">
        <v>16</v>
      </c>
      <c r="D17" s="3" t="s">
        <v>48</v>
      </c>
      <c r="E17" s="3" t="s">
        <v>170</v>
      </c>
      <c r="F17" s="3" t="s">
        <v>152</v>
      </c>
      <c r="G17" s="6" t="s">
        <v>188</v>
      </c>
      <c r="H17" s="9" t="s">
        <v>262</v>
      </c>
      <c r="I17" s="9">
        <v>2020047070</v>
      </c>
      <c r="J17">
        <v>30</v>
      </c>
      <c r="K17" s="3">
        <v>17</v>
      </c>
      <c r="L17" s="3">
        <v>20371</v>
      </c>
      <c r="M17" s="3">
        <v>0</v>
      </c>
      <c r="N17" s="3">
        <v>1697</v>
      </c>
      <c r="O17" s="3">
        <v>0</v>
      </c>
      <c r="P17" s="3">
        <v>22068</v>
      </c>
      <c r="Q17" s="4">
        <v>11544</v>
      </c>
      <c r="R17" s="4">
        <v>77</v>
      </c>
      <c r="S17" s="3">
        <v>962</v>
      </c>
      <c r="T17" s="4">
        <v>0</v>
      </c>
      <c r="U17" s="5">
        <f t="shared" si="0"/>
        <v>12583</v>
      </c>
      <c r="V17" s="3">
        <v>0</v>
      </c>
      <c r="W17" s="3">
        <v>0</v>
      </c>
      <c r="X17" s="3">
        <v>0</v>
      </c>
      <c r="Y17" s="11">
        <v>53</v>
      </c>
      <c r="Z17" s="5"/>
      <c r="AA17" s="3"/>
      <c r="AB17" s="5"/>
      <c r="AC17" s="3">
        <v>900</v>
      </c>
      <c r="AD17" s="5">
        <f t="shared" si="2"/>
        <v>13536</v>
      </c>
      <c r="AE17" s="4">
        <v>1063</v>
      </c>
      <c r="AF17" s="4">
        <v>87</v>
      </c>
      <c r="AG17" s="3">
        <v>0</v>
      </c>
      <c r="AH17" s="3">
        <v>20</v>
      </c>
      <c r="AI17" s="3">
        <v>0</v>
      </c>
      <c r="AJ17" s="3">
        <v>0</v>
      </c>
      <c r="AK17" s="4">
        <v>0</v>
      </c>
      <c r="AL17" s="5">
        <f t="shared" si="3"/>
        <v>1170</v>
      </c>
      <c r="AM17" s="5">
        <f t="shared" si="1"/>
        <v>12366</v>
      </c>
    </row>
    <row r="18" spans="1:39" x14ac:dyDescent="0.35">
      <c r="A18" s="3" t="s">
        <v>49</v>
      </c>
      <c r="B18" t="s">
        <v>2</v>
      </c>
      <c r="C18" s="2" t="s">
        <v>16</v>
      </c>
      <c r="D18" s="3" t="s">
        <v>50</v>
      </c>
      <c r="E18" s="3" t="s">
        <v>170</v>
      </c>
      <c r="F18" s="3" t="s">
        <v>152</v>
      </c>
      <c r="G18" s="6" t="s">
        <v>189</v>
      </c>
      <c r="H18" s="9" t="s">
        <v>263</v>
      </c>
      <c r="I18" s="9" t="s">
        <v>264</v>
      </c>
      <c r="J18">
        <v>30</v>
      </c>
      <c r="K18" s="3">
        <v>8</v>
      </c>
      <c r="L18" s="3">
        <v>20371</v>
      </c>
      <c r="M18" s="3">
        <v>0</v>
      </c>
      <c r="N18" s="3">
        <v>1697</v>
      </c>
      <c r="O18" s="3">
        <v>0</v>
      </c>
      <c r="P18" s="3">
        <v>22068</v>
      </c>
      <c r="Q18" s="4">
        <v>5432</v>
      </c>
      <c r="R18" s="4">
        <v>0</v>
      </c>
      <c r="S18" s="3">
        <v>453</v>
      </c>
      <c r="T18" s="4">
        <v>0</v>
      </c>
      <c r="U18" s="5">
        <f t="shared" si="0"/>
        <v>5885</v>
      </c>
      <c r="V18" s="3">
        <v>0</v>
      </c>
      <c r="W18" s="3">
        <v>0</v>
      </c>
      <c r="X18" s="3">
        <v>0</v>
      </c>
      <c r="Y18" s="11">
        <v>213</v>
      </c>
      <c r="Z18" s="5"/>
      <c r="AA18" s="3"/>
      <c r="AB18" s="5"/>
      <c r="AC18" s="3">
        <v>0</v>
      </c>
      <c r="AD18" s="5">
        <f t="shared" si="2"/>
        <v>6098</v>
      </c>
      <c r="AE18" s="4">
        <v>652</v>
      </c>
      <c r="AF18" s="4">
        <v>41</v>
      </c>
      <c r="AG18" s="3">
        <v>0</v>
      </c>
      <c r="AH18" s="3">
        <v>20</v>
      </c>
      <c r="AI18" s="3">
        <v>0</v>
      </c>
      <c r="AJ18" s="3">
        <v>0</v>
      </c>
      <c r="AK18" s="4">
        <v>0</v>
      </c>
      <c r="AL18" s="5">
        <f t="shared" si="3"/>
        <v>713</v>
      </c>
      <c r="AM18" s="5">
        <f t="shared" si="1"/>
        <v>5385</v>
      </c>
    </row>
    <row r="19" spans="1:39" x14ac:dyDescent="0.35">
      <c r="A19" s="3" t="s">
        <v>51</v>
      </c>
      <c r="B19" t="s">
        <v>2</v>
      </c>
      <c r="C19" s="2" t="s">
        <v>16</v>
      </c>
      <c r="D19" s="3" t="s">
        <v>52</v>
      </c>
      <c r="E19" s="3" t="s">
        <v>170</v>
      </c>
      <c r="F19" s="3" t="s">
        <v>152</v>
      </c>
      <c r="G19" s="6" t="s">
        <v>190</v>
      </c>
      <c r="H19" s="9" t="s">
        <v>265</v>
      </c>
      <c r="I19" s="9" t="s">
        <v>266</v>
      </c>
      <c r="J19">
        <v>30</v>
      </c>
      <c r="K19" s="3">
        <v>8</v>
      </c>
      <c r="L19" s="3">
        <v>20371</v>
      </c>
      <c r="M19" s="3">
        <v>0</v>
      </c>
      <c r="N19" s="3">
        <v>1697</v>
      </c>
      <c r="O19" s="3">
        <v>0</v>
      </c>
      <c r="P19" s="3">
        <v>22068</v>
      </c>
      <c r="Q19" s="4">
        <v>5432</v>
      </c>
      <c r="R19" s="4">
        <v>41</v>
      </c>
      <c r="S19" s="3">
        <v>453</v>
      </c>
      <c r="T19" s="4">
        <v>0</v>
      </c>
      <c r="U19" s="5">
        <f t="shared" si="0"/>
        <v>5926</v>
      </c>
      <c r="V19" s="3">
        <v>0</v>
      </c>
      <c r="W19" s="3">
        <v>0</v>
      </c>
      <c r="X19" s="3">
        <v>0</v>
      </c>
      <c r="Y19" s="11">
        <v>0</v>
      </c>
      <c r="Z19" s="5"/>
      <c r="AA19" s="3"/>
      <c r="AB19" s="5"/>
      <c r="AC19" s="3">
        <v>630</v>
      </c>
      <c r="AD19" s="5">
        <f t="shared" si="2"/>
        <v>6556</v>
      </c>
      <c r="AE19" s="4">
        <v>480</v>
      </c>
      <c r="AF19" s="4">
        <v>41</v>
      </c>
      <c r="AG19" s="3">
        <v>0</v>
      </c>
      <c r="AH19" s="3">
        <v>20</v>
      </c>
      <c r="AI19" s="3">
        <v>0</v>
      </c>
      <c r="AJ19" s="3">
        <v>0</v>
      </c>
      <c r="AK19" s="4">
        <v>5149.2</v>
      </c>
      <c r="AL19" s="5">
        <f t="shared" si="3"/>
        <v>5690</v>
      </c>
      <c r="AM19" s="5">
        <f t="shared" si="1"/>
        <v>866</v>
      </c>
    </row>
    <row r="20" spans="1:39" x14ac:dyDescent="0.35">
      <c r="A20" s="3" t="s">
        <v>53</v>
      </c>
      <c r="B20" t="s">
        <v>2</v>
      </c>
      <c r="C20" s="2" t="s">
        <v>16</v>
      </c>
      <c r="D20" s="3" t="s">
        <v>54</v>
      </c>
      <c r="E20" s="3" t="s">
        <v>170</v>
      </c>
      <c r="F20" s="3" t="s">
        <v>153</v>
      </c>
      <c r="G20" s="6" t="s">
        <v>191</v>
      </c>
      <c r="H20" s="9" t="s">
        <v>267</v>
      </c>
      <c r="I20" s="9">
        <v>2020007484</v>
      </c>
      <c r="J20">
        <v>30</v>
      </c>
      <c r="K20" s="3">
        <v>27</v>
      </c>
      <c r="L20" s="3">
        <v>20371</v>
      </c>
      <c r="M20" s="3">
        <v>0</v>
      </c>
      <c r="N20" s="3">
        <v>1697</v>
      </c>
      <c r="O20" s="3">
        <v>0</v>
      </c>
      <c r="P20" s="3">
        <v>22068</v>
      </c>
      <c r="Q20" s="4">
        <v>18334</v>
      </c>
      <c r="R20" s="4">
        <v>72</v>
      </c>
      <c r="S20" s="3">
        <v>1527</v>
      </c>
      <c r="T20" s="4">
        <v>0</v>
      </c>
      <c r="U20" s="5">
        <f t="shared" si="0"/>
        <v>19933</v>
      </c>
      <c r="V20" s="3">
        <v>340</v>
      </c>
      <c r="W20" s="3">
        <v>0</v>
      </c>
      <c r="X20" s="3">
        <v>0</v>
      </c>
      <c r="Y20" s="11">
        <v>346</v>
      </c>
      <c r="Z20" s="5"/>
      <c r="AA20" s="3"/>
      <c r="AB20" s="5"/>
      <c r="AC20" s="3">
        <v>270</v>
      </c>
      <c r="AD20" s="5">
        <f t="shared" si="2"/>
        <v>20889</v>
      </c>
      <c r="AE20" s="4">
        <v>1899</v>
      </c>
      <c r="AF20" s="4">
        <v>138</v>
      </c>
      <c r="AG20" s="3">
        <v>0</v>
      </c>
      <c r="AH20" s="3">
        <v>20</v>
      </c>
      <c r="AI20" s="3">
        <v>0</v>
      </c>
      <c r="AJ20" s="3">
        <v>0</v>
      </c>
      <c r="AK20" s="4">
        <v>0</v>
      </c>
      <c r="AL20" s="5">
        <f t="shared" si="3"/>
        <v>2057</v>
      </c>
      <c r="AM20" s="5">
        <f t="shared" si="1"/>
        <v>18832</v>
      </c>
    </row>
    <row r="21" spans="1:39" x14ac:dyDescent="0.35">
      <c r="A21" s="3" t="s">
        <v>55</v>
      </c>
      <c r="B21" t="s">
        <v>2</v>
      </c>
      <c r="C21" s="2" t="s">
        <v>16</v>
      </c>
      <c r="D21" s="3" t="s">
        <v>18</v>
      </c>
      <c r="E21" s="3" t="s">
        <v>170</v>
      </c>
      <c r="F21" s="3" t="s">
        <v>153</v>
      </c>
      <c r="G21" s="6" t="s">
        <v>192</v>
      </c>
      <c r="H21" s="9" t="s">
        <v>268</v>
      </c>
      <c r="I21" s="9" t="s">
        <v>269</v>
      </c>
      <c r="J21">
        <v>30</v>
      </c>
      <c r="K21" s="3">
        <v>19</v>
      </c>
      <c r="L21" s="3">
        <v>20371</v>
      </c>
      <c r="M21" s="3">
        <v>0</v>
      </c>
      <c r="N21" s="3">
        <v>1697</v>
      </c>
      <c r="O21" s="3">
        <v>0</v>
      </c>
      <c r="P21" s="3">
        <v>22068</v>
      </c>
      <c r="Q21" s="4">
        <v>12902</v>
      </c>
      <c r="R21" s="4">
        <v>0</v>
      </c>
      <c r="S21" s="3">
        <v>1075</v>
      </c>
      <c r="T21" s="4">
        <v>0</v>
      </c>
      <c r="U21" s="5">
        <f t="shared" si="0"/>
        <v>13977</v>
      </c>
      <c r="V21" s="3">
        <v>0</v>
      </c>
      <c r="W21" s="3">
        <v>0</v>
      </c>
      <c r="X21" s="3">
        <v>0</v>
      </c>
      <c r="Y21" s="11">
        <v>301</v>
      </c>
      <c r="Z21" s="5"/>
      <c r="AA21" s="3"/>
      <c r="AB21" s="5"/>
      <c r="AC21" s="3">
        <v>360</v>
      </c>
      <c r="AD21" s="5">
        <f t="shared" si="2"/>
        <v>14638</v>
      </c>
      <c r="AE21" s="4">
        <v>1441</v>
      </c>
      <c r="AF21" s="4">
        <v>97</v>
      </c>
      <c r="AG21" s="3">
        <v>0</v>
      </c>
      <c r="AH21" s="3">
        <v>20</v>
      </c>
      <c r="AI21" s="3">
        <v>0</v>
      </c>
      <c r="AJ21" s="3">
        <v>0</v>
      </c>
      <c r="AK21" s="4">
        <v>0</v>
      </c>
      <c r="AL21" s="5">
        <f t="shared" si="3"/>
        <v>1558</v>
      </c>
      <c r="AM21" s="5">
        <f t="shared" si="1"/>
        <v>13080</v>
      </c>
    </row>
    <row r="22" spans="1:39" x14ac:dyDescent="0.35">
      <c r="A22" s="3" t="s">
        <v>56</v>
      </c>
      <c r="B22" t="s">
        <v>2</v>
      </c>
      <c r="C22" s="2" t="s">
        <v>16</v>
      </c>
      <c r="D22" s="3" t="s">
        <v>57</v>
      </c>
      <c r="E22" s="3" t="s">
        <v>170</v>
      </c>
      <c r="F22" s="3" t="s">
        <v>153</v>
      </c>
      <c r="G22" s="6" t="s">
        <v>193</v>
      </c>
      <c r="H22" s="9">
        <v>0</v>
      </c>
      <c r="I22" s="9">
        <v>2020067685</v>
      </c>
      <c r="J22">
        <v>30</v>
      </c>
      <c r="K22" s="3">
        <v>19</v>
      </c>
      <c r="L22" s="3">
        <v>20371</v>
      </c>
      <c r="M22" s="3">
        <v>0</v>
      </c>
      <c r="N22" s="3">
        <v>1697</v>
      </c>
      <c r="O22" s="3">
        <v>0</v>
      </c>
      <c r="P22" s="3">
        <v>22068</v>
      </c>
      <c r="Q22" s="4">
        <v>12902</v>
      </c>
      <c r="R22" s="4">
        <v>0</v>
      </c>
      <c r="S22" s="3">
        <v>1075</v>
      </c>
      <c r="T22" s="4">
        <v>0</v>
      </c>
      <c r="U22" s="5">
        <f t="shared" si="0"/>
        <v>13977</v>
      </c>
      <c r="V22" s="3">
        <v>0</v>
      </c>
      <c r="W22" s="3">
        <v>0</v>
      </c>
      <c r="X22" s="3">
        <v>0</v>
      </c>
      <c r="Y22" s="11">
        <v>301</v>
      </c>
      <c r="Z22" s="5"/>
      <c r="AA22" s="3"/>
      <c r="AB22" s="5"/>
      <c r="AC22" s="3">
        <v>360</v>
      </c>
      <c r="AD22" s="5">
        <f t="shared" si="2"/>
        <v>14638</v>
      </c>
      <c r="AE22" s="4">
        <v>1441</v>
      </c>
      <c r="AF22" s="4">
        <v>97</v>
      </c>
      <c r="AG22" s="3">
        <v>0</v>
      </c>
      <c r="AH22" s="3">
        <v>20</v>
      </c>
      <c r="AI22" s="3">
        <v>0</v>
      </c>
      <c r="AJ22" s="3">
        <v>0</v>
      </c>
      <c r="AK22" s="4">
        <v>0</v>
      </c>
      <c r="AL22" s="5">
        <f t="shared" si="3"/>
        <v>1558</v>
      </c>
      <c r="AM22" s="5">
        <f t="shared" si="1"/>
        <v>13080</v>
      </c>
    </row>
    <row r="23" spans="1:39" x14ac:dyDescent="0.35">
      <c r="A23" s="3" t="s">
        <v>58</v>
      </c>
      <c r="B23" t="s">
        <v>2</v>
      </c>
      <c r="C23" s="2" t="s">
        <v>16</v>
      </c>
      <c r="D23" s="3" t="s">
        <v>59</v>
      </c>
      <c r="E23" s="3" t="s">
        <v>170</v>
      </c>
      <c r="F23" s="3" t="s">
        <v>153</v>
      </c>
      <c r="G23" s="6" t="s">
        <v>194</v>
      </c>
      <c r="H23" s="9" t="s">
        <v>270</v>
      </c>
      <c r="I23" s="9" t="s">
        <v>271</v>
      </c>
      <c r="J23">
        <v>30</v>
      </c>
      <c r="K23" s="3">
        <v>17</v>
      </c>
      <c r="L23" s="3">
        <v>20371</v>
      </c>
      <c r="M23" s="3">
        <v>0</v>
      </c>
      <c r="N23" s="3">
        <v>1697</v>
      </c>
      <c r="O23" s="3">
        <v>0</v>
      </c>
      <c r="P23" s="3">
        <v>22068</v>
      </c>
      <c r="Q23" s="4">
        <v>11544</v>
      </c>
      <c r="R23" s="4">
        <v>0</v>
      </c>
      <c r="S23" s="3">
        <v>962</v>
      </c>
      <c r="T23" s="4">
        <v>0</v>
      </c>
      <c r="U23" s="5">
        <f t="shared" si="0"/>
        <v>12506</v>
      </c>
      <c r="V23" s="3">
        <v>0</v>
      </c>
      <c r="W23" s="3">
        <v>0</v>
      </c>
      <c r="X23" s="3">
        <v>0</v>
      </c>
      <c r="Y23" s="11">
        <v>301</v>
      </c>
      <c r="Z23" s="5"/>
      <c r="AA23" s="3"/>
      <c r="AB23" s="5"/>
      <c r="AC23" s="3">
        <v>0</v>
      </c>
      <c r="AD23" s="5">
        <f t="shared" si="2"/>
        <v>12807</v>
      </c>
      <c r="AE23" s="4">
        <v>1321</v>
      </c>
      <c r="AF23" s="4">
        <v>87</v>
      </c>
      <c r="AG23" s="3">
        <v>0</v>
      </c>
      <c r="AH23" s="3">
        <v>20</v>
      </c>
      <c r="AI23" s="3">
        <v>0</v>
      </c>
      <c r="AJ23" s="3">
        <v>0</v>
      </c>
      <c r="AK23" s="4">
        <v>0</v>
      </c>
      <c r="AL23" s="5">
        <f t="shared" si="3"/>
        <v>1428</v>
      </c>
      <c r="AM23" s="5">
        <f t="shared" si="1"/>
        <v>11379</v>
      </c>
    </row>
    <row r="24" spans="1:39" x14ac:dyDescent="0.35">
      <c r="A24" s="3" t="s">
        <v>60</v>
      </c>
      <c r="B24" t="s">
        <v>2</v>
      </c>
      <c r="C24" s="2" t="s">
        <v>16</v>
      </c>
      <c r="D24" s="3" t="s">
        <v>61</v>
      </c>
      <c r="E24" s="3" t="s">
        <v>170</v>
      </c>
      <c r="F24" s="3" t="s">
        <v>153</v>
      </c>
      <c r="G24" s="6" t="s">
        <v>195</v>
      </c>
      <c r="H24" s="9" t="s">
        <v>272</v>
      </c>
      <c r="I24" s="9" t="s">
        <v>273</v>
      </c>
      <c r="J24">
        <v>30</v>
      </c>
      <c r="K24" s="3">
        <v>15</v>
      </c>
      <c r="L24" s="3">
        <v>20371</v>
      </c>
      <c r="M24" s="3">
        <v>0</v>
      </c>
      <c r="N24" s="3">
        <v>1697</v>
      </c>
      <c r="O24" s="3">
        <v>0</v>
      </c>
      <c r="P24" s="3">
        <v>22068</v>
      </c>
      <c r="Q24" s="4">
        <v>10186</v>
      </c>
      <c r="R24" s="4">
        <v>0</v>
      </c>
      <c r="S24" s="3">
        <v>849</v>
      </c>
      <c r="T24" s="4">
        <v>0</v>
      </c>
      <c r="U24" s="5">
        <f t="shared" si="0"/>
        <v>11035</v>
      </c>
      <c r="V24" s="3">
        <v>0</v>
      </c>
      <c r="W24" s="3">
        <v>0</v>
      </c>
      <c r="X24" s="3">
        <v>0</v>
      </c>
      <c r="Y24" s="11">
        <v>301</v>
      </c>
      <c r="Z24" s="5"/>
      <c r="AA24" s="3"/>
      <c r="AB24" s="5"/>
      <c r="AC24" s="3">
        <v>90</v>
      </c>
      <c r="AD24" s="5">
        <f t="shared" si="2"/>
        <v>11426</v>
      </c>
      <c r="AE24" s="4">
        <v>1201</v>
      </c>
      <c r="AF24" s="4">
        <v>76</v>
      </c>
      <c r="AG24" s="3">
        <v>0</v>
      </c>
      <c r="AH24" s="3">
        <v>20</v>
      </c>
      <c r="AI24" s="3">
        <v>0</v>
      </c>
      <c r="AJ24" s="3">
        <v>0</v>
      </c>
      <c r="AK24" s="4">
        <v>0</v>
      </c>
      <c r="AL24" s="5">
        <f t="shared" si="3"/>
        <v>1297</v>
      </c>
      <c r="AM24" s="5">
        <f t="shared" si="1"/>
        <v>10129</v>
      </c>
    </row>
    <row r="25" spans="1:39" x14ac:dyDescent="0.35">
      <c r="A25" s="3" t="s">
        <v>62</v>
      </c>
      <c r="B25" t="s">
        <v>2</v>
      </c>
      <c r="C25" s="2" t="s">
        <v>16</v>
      </c>
      <c r="D25" s="3" t="s">
        <v>63</v>
      </c>
      <c r="E25" s="3" t="s">
        <v>170</v>
      </c>
      <c r="F25" s="3" t="s">
        <v>153</v>
      </c>
      <c r="G25" s="6" t="s">
        <v>196</v>
      </c>
      <c r="H25" s="9">
        <v>0</v>
      </c>
      <c r="I25" s="9">
        <v>2020067691</v>
      </c>
      <c r="J25">
        <v>30</v>
      </c>
      <c r="K25" s="3">
        <v>12</v>
      </c>
      <c r="L25" s="3">
        <v>20371</v>
      </c>
      <c r="M25" s="3">
        <v>0</v>
      </c>
      <c r="N25" s="3">
        <v>1697</v>
      </c>
      <c r="O25" s="3">
        <v>0</v>
      </c>
      <c r="P25" s="3">
        <v>22068</v>
      </c>
      <c r="Q25" s="4">
        <v>8148</v>
      </c>
      <c r="R25" s="4">
        <v>0</v>
      </c>
      <c r="S25" s="3">
        <v>679</v>
      </c>
      <c r="T25" s="4">
        <v>0</v>
      </c>
      <c r="U25" s="5">
        <f t="shared" si="0"/>
        <v>8827</v>
      </c>
      <c r="V25" s="3">
        <v>0</v>
      </c>
      <c r="W25" s="3">
        <v>0</v>
      </c>
      <c r="X25" s="3">
        <v>0</v>
      </c>
      <c r="Y25" s="11">
        <v>258</v>
      </c>
      <c r="Z25" s="5"/>
      <c r="AA25" s="3"/>
      <c r="AB25" s="5"/>
      <c r="AC25" s="3">
        <v>0</v>
      </c>
      <c r="AD25" s="5">
        <f t="shared" si="2"/>
        <v>9085</v>
      </c>
      <c r="AE25" s="4">
        <v>978</v>
      </c>
      <c r="AF25" s="4">
        <v>61</v>
      </c>
      <c r="AG25" s="3">
        <v>0</v>
      </c>
      <c r="AH25" s="3">
        <v>20</v>
      </c>
      <c r="AI25" s="3">
        <v>0</v>
      </c>
      <c r="AJ25" s="3">
        <v>0</v>
      </c>
      <c r="AK25" s="4">
        <v>0</v>
      </c>
      <c r="AL25" s="5">
        <f t="shared" si="3"/>
        <v>1059</v>
      </c>
      <c r="AM25" s="5">
        <f t="shared" si="1"/>
        <v>8026</v>
      </c>
    </row>
    <row r="26" spans="1:39" x14ac:dyDescent="0.35">
      <c r="A26" s="3" t="s">
        <v>64</v>
      </c>
      <c r="B26" t="s">
        <v>2</v>
      </c>
      <c r="C26" s="2" t="s">
        <v>16</v>
      </c>
      <c r="D26" s="3" t="s">
        <v>65</v>
      </c>
      <c r="E26" s="3" t="s">
        <v>170</v>
      </c>
      <c r="F26" s="3" t="s">
        <v>153</v>
      </c>
      <c r="G26" s="6">
        <v>0</v>
      </c>
      <c r="H26" s="9" t="e">
        <v>#N/A</v>
      </c>
      <c r="I26" s="9">
        <v>0</v>
      </c>
      <c r="J26">
        <v>30</v>
      </c>
      <c r="K26" s="3">
        <v>2</v>
      </c>
      <c r="L26" s="3">
        <v>20371</v>
      </c>
      <c r="M26" s="3">
        <v>0</v>
      </c>
      <c r="N26" s="3">
        <v>1697</v>
      </c>
      <c r="O26" s="3">
        <v>0</v>
      </c>
      <c r="P26" s="3">
        <v>22068</v>
      </c>
      <c r="Q26" s="4">
        <v>1358</v>
      </c>
      <c r="R26" s="4">
        <v>0</v>
      </c>
      <c r="S26" s="3">
        <v>113</v>
      </c>
      <c r="T26" s="4">
        <v>0</v>
      </c>
      <c r="U26" s="5">
        <f t="shared" si="0"/>
        <v>1471</v>
      </c>
      <c r="V26" s="3">
        <v>0</v>
      </c>
      <c r="W26" s="3">
        <v>0</v>
      </c>
      <c r="X26" s="3">
        <v>0</v>
      </c>
      <c r="Y26" s="11">
        <v>43</v>
      </c>
      <c r="Z26" s="5"/>
      <c r="AA26" s="3"/>
      <c r="AB26" s="5"/>
      <c r="AC26" s="3">
        <v>0</v>
      </c>
      <c r="AD26" s="5">
        <f t="shared" si="2"/>
        <v>1514</v>
      </c>
      <c r="AE26" s="4">
        <v>163</v>
      </c>
      <c r="AF26" s="4">
        <v>10</v>
      </c>
      <c r="AG26" s="3">
        <v>0</v>
      </c>
      <c r="AH26" s="3">
        <v>20</v>
      </c>
      <c r="AI26" s="3">
        <v>0</v>
      </c>
      <c r="AJ26" s="3">
        <v>0</v>
      </c>
      <c r="AK26" s="4">
        <v>0</v>
      </c>
      <c r="AL26" s="5">
        <f t="shared" si="3"/>
        <v>193</v>
      </c>
      <c r="AM26" s="5">
        <f t="shared" si="1"/>
        <v>1321</v>
      </c>
    </row>
    <row r="27" spans="1:39" x14ac:dyDescent="0.35">
      <c r="A27" s="3" t="s">
        <v>66</v>
      </c>
      <c r="B27" t="s">
        <v>2</v>
      </c>
      <c r="C27" s="2" t="s">
        <v>16</v>
      </c>
      <c r="D27" s="3" t="s">
        <v>67</v>
      </c>
      <c r="E27" s="3" t="s">
        <v>170</v>
      </c>
      <c r="F27" s="3" t="s">
        <v>154</v>
      </c>
      <c r="G27" s="6" t="s">
        <v>197</v>
      </c>
      <c r="H27" s="8" t="s">
        <v>274</v>
      </c>
      <c r="I27" s="9">
        <v>2020007493</v>
      </c>
      <c r="J27">
        <v>30</v>
      </c>
      <c r="K27" s="3">
        <v>30</v>
      </c>
      <c r="L27" s="3">
        <v>20371</v>
      </c>
      <c r="M27" s="3">
        <v>0</v>
      </c>
      <c r="N27" s="3">
        <v>1697</v>
      </c>
      <c r="O27" s="3">
        <v>0</v>
      </c>
      <c r="P27" s="3">
        <v>22068</v>
      </c>
      <c r="Q27" s="4">
        <v>20371</v>
      </c>
      <c r="R27" s="4">
        <v>82</v>
      </c>
      <c r="S27" s="3">
        <v>1697</v>
      </c>
      <c r="T27" s="4">
        <v>0</v>
      </c>
      <c r="U27" s="5">
        <f t="shared" si="0"/>
        <v>22150</v>
      </c>
      <c r="V27" s="3">
        <v>1019</v>
      </c>
      <c r="W27" s="3">
        <v>0</v>
      </c>
      <c r="X27" s="3">
        <v>0</v>
      </c>
      <c r="Y27" s="11">
        <v>373</v>
      </c>
      <c r="Z27" s="5"/>
      <c r="AA27" s="3"/>
      <c r="AB27" s="5"/>
      <c r="AC27" s="3">
        <v>1440</v>
      </c>
      <c r="AD27" s="5">
        <f t="shared" si="2"/>
        <v>24982</v>
      </c>
      <c r="AE27" s="4">
        <v>2101</v>
      </c>
      <c r="AF27" s="4">
        <v>153</v>
      </c>
      <c r="AG27" s="3">
        <v>0</v>
      </c>
      <c r="AH27" s="3">
        <v>20</v>
      </c>
      <c r="AI27" s="3">
        <v>0</v>
      </c>
      <c r="AJ27" s="3">
        <v>0</v>
      </c>
      <c r="AK27" s="4">
        <v>0</v>
      </c>
      <c r="AL27" s="5">
        <f t="shared" si="3"/>
        <v>2274</v>
      </c>
      <c r="AM27" s="5">
        <f t="shared" si="1"/>
        <v>22708</v>
      </c>
    </row>
    <row r="28" spans="1:39" x14ac:dyDescent="0.35">
      <c r="A28" s="3" t="s">
        <v>68</v>
      </c>
      <c r="B28" t="s">
        <v>2</v>
      </c>
      <c r="C28" s="2" t="s">
        <v>16</v>
      </c>
      <c r="D28" s="3" t="s">
        <v>69</v>
      </c>
      <c r="E28" s="3" t="s">
        <v>170</v>
      </c>
      <c r="F28" s="3" t="s">
        <v>154</v>
      </c>
      <c r="G28" s="6" t="s">
        <v>198</v>
      </c>
      <c r="H28" s="9" t="s">
        <v>275</v>
      </c>
      <c r="I28" s="9" t="s">
        <v>276</v>
      </c>
      <c r="J28">
        <v>30</v>
      </c>
      <c r="K28" s="3">
        <v>26</v>
      </c>
      <c r="L28" s="3">
        <v>20371</v>
      </c>
      <c r="M28" s="3">
        <v>0</v>
      </c>
      <c r="N28" s="3">
        <v>1697</v>
      </c>
      <c r="O28" s="3">
        <v>0</v>
      </c>
      <c r="P28" s="3">
        <v>22068</v>
      </c>
      <c r="Q28" s="4">
        <v>17655</v>
      </c>
      <c r="R28" s="4">
        <v>82</v>
      </c>
      <c r="S28" s="3">
        <v>1471</v>
      </c>
      <c r="T28" s="4">
        <v>0</v>
      </c>
      <c r="U28" s="5">
        <f t="shared" si="0"/>
        <v>19208</v>
      </c>
      <c r="V28" s="3">
        <v>340</v>
      </c>
      <c r="W28" s="3">
        <v>0</v>
      </c>
      <c r="X28" s="3">
        <v>0</v>
      </c>
      <c r="Y28" s="11">
        <v>266</v>
      </c>
      <c r="Z28" s="5"/>
      <c r="AA28" s="3"/>
      <c r="AB28" s="5"/>
      <c r="AC28" s="3">
        <v>450</v>
      </c>
      <c r="AD28" s="5">
        <f t="shared" si="2"/>
        <v>20264</v>
      </c>
      <c r="AE28" s="4">
        <v>1775</v>
      </c>
      <c r="AF28" s="4">
        <v>132</v>
      </c>
      <c r="AG28" s="3">
        <v>0</v>
      </c>
      <c r="AH28" s="3">
        <v>20</v>
      </c>
      <c r="AI28" s="3">
        <v>0</v>
      </c>
      <c r="AJ28" s="3">
        <v>0</v>
      </c>
      <c r="AK28" s="4">
        <v>0</v>
      </c>
      <c r="AL28" s="5">
        <f t="shared" si="3"/>
        <v>1927</v>
      </c>
      <c r="AM28" s="5">
        <f t="shared" si="1"/>
        <v>18337</v>
      </c>
    </row>
    <row r="29" spans="1:39" x14ac:dyDescent="0.35">
      <c r="A29" s="3" t="s">
        <v>70</v>
      </c>
      <c r="B29" t="s">
        <v>2</v>
      </c>
      <c r="C29" s="2" t="s">
        <v>16</v>
      </c>
      <c r="D29" s="3" t="s">
        <v>71</v>
      </c>
      <c r="E29" s="3" t="s">
        <v>170</v>
      </c>
      <c r="F29" s="3" t="s">
        <v>155</v>
      </c>
      <c r="G29" s="6" t="s">
        <v>199</v>
      </c>
      <c r="H29" s="9">
        <v>102389418169</v>
      </c>
      <c r="I29" s="9">
        <v>2020050068</v>
      </c>
      <c r="J29">
        <v>30</v>
      </c>
      <c r="K29" s="3">
        <v>27</v>
      </c>
      <c r="L29" s="3">
        <v>20371</v>
      </c>
      <c r="M29" s="3">
        <v>0</v>
      </c>
      <c r="N29" s="3">
        <v>1697</v>
      </c>
      <c r="O29" s="3">
        <v>0</v>
      </c>
      <c r="P29" s="3">
        <v>22068</v>
      </c>
      <c r="Q29" s="4">
        <v>18334</v>
      </c>
      <c r="R29" s="4">
        <v>72</v>
      </c>
      <c r="S29" s="3">
        <v>1527</v>
      </c>
      <c r="T29" s="4">
        <v>0</v>
      </c>
      <c r="U29" s="5">
        <f t="shared" si="0"/>
        <v>19933</v>
      </c>
      <c r="V29" s="3">
        <v>0</v>
      </c>
      <c r="W29" s="3">
        <v>0</v>
      </c>
      <c r="X29" s="3">
        <v>0</v>
      </c>
      <c r="Y29" s="11">
        <v>346</v>
      </c>
      <c r="Z29" s="5"/>
      <c r="AA29" s="3"/>
      <c r="AB29" s="5"/>
      <c r="AC29" s="3">
        <v>360</v>
      </c>
      <c r="AD29" s="5">
        <f t="shared" si="2"/>
        <v>20639</v>
      </c>
      <c r="AE29" s="4">
        <v>1899</v>
      </c>
      <c r="AF29" s="4">
        <v>138</v>
      </c>
      <c r="AG29" s="3">
        <v>0</v>
      </c>
      <c r="AH29" s="3">
        <v>20</v>
      </c>
      <c r="AI29" s="3">
        <v>0</v>
      </c>
      <c r="AJ29" s="3">
        <v>0</v>
      </c>
      <c r="AK29" s="4">
        <v>0</v>
      </c>
      <c r="AL29" s="5">
        <f t="shared" si="3"/>
        <v>2057</v>
      </c>
      <c r="AM29" s="5">
        <f t="shared" si="1"/>
        <v>18582</v>
      </c>
    </row>
    <row r="30" spans="1:39" x14ac:dyDescent="0.35">
      <c r="A30" s="3" t="s">
        <v>72</v>
      </c>
      <c r="B30" t="s">
        <v>2</v>
      </c>
      <c r="C30" s="2" t="s">
        <v>16</v>
      </c>
      <c r="D30" s="3" t="s">
        <v>73</v>
      </c>
      <c r="E30" s="3" t="s">
        <v>171</v>
      </c>
      <c r="F30" s="3" t="s">
        <v>156</v>
      </c>
      <c r="G30" s="6" t="s">
        <v>200</v>
      </c>
      <c r="H30" s="9" t="s">
        <v>277</v>
      </c>
      <c r="I30" s="9">
        <v>2020067695</v>
      </c>
      <c r="J30">
        <v>30</v>
      </c>
      <c r="K30" s="3">
        <v>1.5</v>
      </c>
      <c r="L30" s="3">
        <v>20371</v>
      </c>
      <c r="M30" s="3">
        <v>0</v>
      </c>
      <c r="N30" s="3">
        <v>1697</v>
      </c>
      <c r="O30" s="3">
        <v>0</v>
      </c>
      <c r="P30" s="3">
        <v>22068</v>
      </c>
      <c r="Q30" s="4">
        <v>1019</v>
      </c>
      <c r="R30" s="4">
        <v>0</v>
      </c>
      <c r="S30" s="3">
        <v>85</v>
      </c>
      <c r="T30" s="4">
        <v>0</v>
      </c>
      <c r="U30" s="5">
        <f t="shared" si="0"/>
        <v>1104</v>
      </c>
      <c r="V30" s="3">
        <v>0</v>
      </c>
      <c r="W30" s="3">
        <v>0</v>
      </c>
      <c r="X30" s="3">
        <v>4</v>
      </c>
      <c r="Y30" s="11">
        <v>40</v>
      </c>
      <c r="Z30" s="5"/>
      <c r="AA30" s="3"/>
      <c r="AB30" s="5"/>
      <c r="AC30" s="3">
        <v>0</v>
      </c>
      <c r="AD30" s="5">
        <f t="shared" si="2"/>
        <v>1148</v>
      </c>
      <c r="AE30" s="4">
        <v>122</v>
      </c>
      <c r="AF30" s="4">
        <v>8</v>
      </c>
      <c r="AG30" s="3">
        <v>0</v>
      </c>
      <c r="AH30" s="3">
        <v>20</v>
      </c>
      <c r="AI30" s="3">
        <v>0</v>
      </c>
      <c r="AJ30" s="3">
        <v>0</v>
      </c>
      <c r="AK30" s="4">
        <v>0</v>
      </c>
      <c r="AL30" s="5">
        <f t="shared" si="3"/>
        <v>150</v>
      </c>
      <c r="AM30" s="5">
        <f t="shared" si="1"/>
        <v>998</v>
      </c>
    </row>
    <row r="31" spans="1:39" x14ac:dyDescent="0.35">
      <c r="A31" s="3" t="s">
        <v>74</v>
      </c>
      <c r="B31" t="s">
        <v>2</v>
      </c>
      <c r="C31" s="2" t="s">
        <v>16</v>
      </c>
      <c r="D31" s="3" t="s">
        <v>75</v>
      </c>
      <c r="E31" s="3" t="s">
        <v>170</v>
      </c>
      <c r="F31" s="3" t="s">
        <v>157</v>
      </c>
      <c r="G31" s="6" t="s">
        <v>201</v>
      </c>
      <c r="H31" s="8" t="s">
        <v>278</v>
      </c>
      <c r="I31" s="9">
        <v>2020007489</v>
      </c>
      <c r="J31">
        <v>30</v>
      </c>
      <c r="K31" s="3">
        <v>29.5</v>
      </c>
      <c r="L31" s="3">
        <v>20371</v>
      </c>
      <c r="M31" s="3">
        <v>0</v>
      </c>
      <c r="N31" s="3">
        <v>1697</v>
      </c>
      <c r="O31" s="3">
        <v>0</v>
      </c>
      <c r="P31" s="3">
        <v>22068</v>
      </c>
      <c r="Q31" s="4">
        <v>20031</v>
      </c>
      <c r="R31" s="4">
        <v>82</v>
      </c>
      <c r="S31" s="3">
        <v>1669</v>
      </c>
      <c r="T31" s="4">
        <v>0</v>
      </c>
      <c r="U31" s="5">
        <f t="shared" si="0"/>
        <v>21782</v>
      </c>
      <c r="V31" s="3">
        <v>0</v>
      </c>
      <c r="W31" s="3">
        <v>0</v>
      </c>
      <c r="X31" s="3">
        <v>0</v>
      </c>
      <c r="Y31" s="11">
        <v>360</v>
      </c>
      <c r="Z31" s="5"/>
      <c r="AA31" s="3"/>
      <c r="AB31" s="5"/>
      <c r="AC31" s="3">
        <v>0</v>
      </c>
      <c r="AD31" s="5">
        <f t="shared" si="2"/>
        <v>22142</v>
      </c>
      <c r="AE31" s="4">
        <v>2060</v>
      </c>
      <c r="AF31" s="4">
        <v>150</v>
      </c>
      <c r="AG31" s="3">
        <v>0</v>
      </c>
      <c r="AH31" s="3">
        <v>20</v>
      </c>
      <c r="AI31" s="3">
        <v>0</v>
      </c>
      <c r="AJ31" s="3">
        <v>0</v>
      </c>
      <c r="AK31" s="4">
        <v>0</v>
      </c>
      <c r="AL31" s="5">
        <f t="shared" si="3"/>
        <v>2230</v>
      </c>
      <c r="AM31" s="5">
        <f t="shared" si="1"/>
        <v>19912</v>
      </c>
    </row>
    <row r="32" spans="1:39" x14ac:dyDescent="0.35">
      <c r="A32" s="3" t="s">
        <v>76</v>
      </c>
      <c r="B32" t="s">
        <v>2</v>
      </c>
      <c r="C32" s="2" t="s">
        <v>16</v>
      </c>
      <c r="D32" s="3" t="s">
        <v>77</v>
      </c>
      <c r="E32" s="3" t="s">
        <v>171</v>
      </c>
      <c r="F32" s="3" t="s">
        <v>158</v>
      </c>
      <c r="G32" s="7" t="s">
        <v>202</v>
      </c>
      <c r="H32" s="9" t="e">
        <v>#N/A</v>
      </c>
      <c r="I32" s="9" t="s">
        <v>279</v>
      </c>
      <c r="J32">
        <v>30</v>
      </c>
      <c r="K32" s="3">
        <v>1.5</v>
      </c>
      <c r="L32" s="3">
        <v>20371</v>
      </c>
      <c r="M32" s="3">
        <v>0</v>
      </c>
      <c r="N32" s="3">
        <v>1697</v>
      </c>
      <c r="O32" s="3">
        <v>0</v>
      </c>
      <c r="P32" s="3">
        <v>22068</v>
      </c>
      <c r="Q32" s="4">
        <v>1019</v>
      </c>
      <c r="R32" s="4">
        <v>0</v>
      </c>
      <c r="S32" s="3">
        <v>85</v>
      </c>
      <c r="T32" s="4">
        <v>0</v>
      </c>
      <c r="U32" s="5">
        <f t="shared" si="0"/>
        <v>1104</v>
      </c>
      <c r="V32" s="3">
        <v>0</v>
      </c>
      <c r="W32" s="3">
        <v>0</v>
      </c>
      <c r="X32" s="3">
        <v>15</v>
      </c>
      <c r="Y32" s="11">
        <v>40</v>
      </c>
      <c r="Z32" s="5"/>
      <c r="AA32" s="3"/>
      <c r="AB32" s="5"/>
      <c r="AC32" s="3">
        <v>0</v>
      </c>
      <c r="AD32" s="5">
        <f t="shared" si="2"/>
        <v>1159</v>
      </c>
      <c r="AE32" s="4">
        <v>122</v>
      </c>
      <c r="AF32" s="4">
        <v>8</v>
      </c>
      <c r="AG32" s="3">
        <v>0</v>
      </c>
      <c r="AH32" s="3">
        <v>20</v>
      </c>
      <c r="AI32" s="3">
        <v>0</v>
      </c>
      <c r="AJ32" s="3">
        <v>0</v>
      </c>
      <c r="AK32" s="4">
        <v>0</v>
      </c>
      <c r="AL32" s="5">
        <f t="shared" si="3"/>
        <v>150</v>
      </c>
      <c r="AM32" s="5">
        <f t="shared" si="1"/>
        <v>1009</v>
      </c>
    </row>
    <row r="33" spans="1:39" x14ac:dyDescent="0.35">
      <c r="A33" s="3" t="s">
        <v>78</v>
      </c>
      <c r="B33" t="s">
        <v>2</v>
      </c>
      <c r="C33" s="2" t="s">
        <v>16</v>
      </c>
      <c r="D33" s="3" t="s">
        <v>79</v>
      </c>
      <c r="E33" s="3" t="s">
        <v>170</v>
      </c>
      <c r="F33" s="3" t="s">
        <v>159</v>
      </c>
      <c r="G33" s="6" t="s">
        <v>203</v>
      </c>
      <c r="H33" s="9" t="s">
        <v>280</v>
      </c>
      <c r="I33" s="9">
        <v>2214724741</v>
      </c>
      <c r="J33">
        <v>30</v>
      </c>
      <c r="K33" s="3">
        <v>30</v>
      </c>
      <c r="L33" s="3">
        <v>20371</v>
      </c>
      <c r="M33" s="3">
        <v>0</v>
      </c>
      <c r="N33" s="3">
        <v>1697</v>
      </c>
      <c r="O33" s="3">
        <v>0</v>
      </c>
      <c r="P33" s="3">
        <v>22068</v>
      </c>
      <c r="Q33" s="4">
        <v>20371</v>
      </c>
      <c r="R33" s="4">
        <v>82</v>
      </c>
      <c r="S33" s="3">
        <v>1697</v>
      </c>
      <c r="T33" s="4">
        <v>0</v>
      </c>
      <c r="U33" s="5">
        <f t="shared" si="0"/>
        <v>22150</v>
      </c>
      <c r="V33" s="3">
        <v>1019</v>
      </c>
      <c r="W33" s="3">
        <v>0</v>
      </c>
      <c r="X33" s="3">
        <v>0</v>
      </c>
      <c r="Y33" s="11">
        <v>373</v>
      </c>
      <c r="Z33" s="5"/>
      <c r="AA33" s="3"/>
      <c r="AB33" s="5"/>
      <c r="AC33" s="3">
        <v>270</v>
      </c>
      <c r="AD33" s="5">
        <f t="shared" si="2"/>
        <v>23812</v>
      </c>
      <c r="AE33" s="4">
        <v>2101</v>
      </c>
      <c r="AF33" s="4">
        <v>153</v>
      </c>
      <c r="AG33" s="3">
        <v>0</v>
      </c>
      <c r="AH33" s="3">
        <v>20</v>
      </c>
      <c r="AI33" s="3">
        <v>0</v>
      </c>
      <c r="AJ33" s="3">
        <v>0</v>
      </c>
      <c r="AK33" s="4">
        <v>0</v>
      </c>
      <c r="AL33" s="5">
        <f t="shared" si="3"/>
        <v>2274</v>
      </c>
      <c r="AM33" s="5">
        <f t="shared" si="1"/>
        <v>21538</v>
      </c>
    </row>
    <row r="34" spans="1:39" x14ac:dyDescent="0.35">
      <c r="A34" s="3" t="s">
        <v>80</v>
      </c>
      <c r="B34" t="s">
        <v>2</v>
      </c>
      <c r="C34" s="2" t="s">
        <v>16</v>
      </c>
      <c r="D34" s="3" t="s">
        <v>81</v>
      </c>
      <c r="E34" s="3" t="s">
        <v>170</v>
      </c>
      <c r="F34" s="3" t="s">
        <v>159</v>
      </c>
      <c r="G34" s="6" t="s">
        <v>204</v>
      </c>
      <c r="H34" s="8" t="s">
        <v>281</v>
      </c>
      <c r="I34" s="9">
        <v>1327794326</v>
      </c>
      <c r="J34">
        <v>30</v>
      </c>
      <c r="K34" s="3">
        <v>30</v>
      </c>
      <c r="L34" s="3">
        <v>20371</v>
      </c>
      <c r="M34" s="3">
        <v>0</v>
      </c>
      <c r="N34" s="3">
        <v>1697</v>
      </c>
      <c r="O34" s="3">
        <v>0</v>
      </c>
      <c r="P34" s="3">
        <v>22068</v>
      </c>
      <c r="Q34" s="4">
        <v>20371</v>
      </c>
      <c r="R34" s="4">
        <v>82</v>
      </c>
      <c r="S34" s="3">
        <v>1697</v>
      </c>
      <c r="T34" s="4">
        <v>0</v>
      </c>
      <c r="U34" s="5">
        <f t="shared" si="0"/>
        <v>22150</v>
      </c>
      <c r="V34" s="3">
        <v>1019</v>
      </c>
      <c r="W34" s="3">
        <v>0</v>
      </c>
      <c r="X34" s="3">
        <v>0</v>
      </c>
      <c r="Y34" s="11">
        <v>373</v>
      </c>
      <c r="Z34" s="5"/>
      <c r="AA34" s="3"/>
      <c r="AB34" s="5"/>
      <c r="AC34" s="3">
        <v>270</v>
      </c>
      <c r="AD34" s="5">
        <f t="shared" si="2"/>
        <v>23812</v>
      </c>
      <c r="AE34" s="4">
        <v>2101</v>
      </c>
      <c r="AF34" s="4">
        <v>153</v>
      </c>
      <c r="AG34" s="3">
        <v>0</v>
      </c>
      <c r="AH34" s="3">
        <v>20</v>
      </c>
      <c r="AI34" s="3">
        <v>0</v>
      </c>
      <c r="AJ34" s="3">
        <v>0</v>
      </c>
      <c r="AK34" s="4">
        <v>0</v>
      </c>
      <c r="AL34" s="5">
        <f t="shared" si="3"/>
        <v>2274</v>
      </c>
      <c r="AM34" s="5">
        <f t="shared" ref="AM34:AM65" si="4">+AD34-AL34</f>
        <v>21538</v>
      </c>
    </row>
    <row r="35" spans="1:39" x14ac:dyDescent="0.35">
      <c r="A35" s="3" t="s">
        <v>82</v>
      </c>
      <c r="B35" t="s">
        <v>2</v>
      </c>
      <c r="C35" s="2" t="s">
        <v>16</v>
      </c>
      <c r="D35" s="3" t="s">
        <v>83</v>
      </c>
      <c r="E35" s="3" t="s">
        <v>170</v>
      </c>
      <c r="F35" s="3" t="s">
        <v>159</v>
      </c>
      <c r="G35" s="6" t="s">
        <v>205</v>
      </c>
      <c r="H35" s="9" t="s">
        <v>282</v>
      </c>
      <c r="I35" s="9">
        <v>2020047014</v>
      </c>
      <c r="J35">
        <v>30</v>
      </c>
      <c r="K35" s="3">
        <v>30</v>
      </c>
      <c r="L35" s="3">
        <v>20371</v>
      </c>
      <c r="M35" s="3">
        <v>0</v>
      </c>
      <c r="N35" s="3">
        <v>1697</v>
      </c>
      <c r="O35" s="3">
        <v>0</v>
      </c>
      <c r="P35" s="3">
        <v>22068</v>
      </c>
      <c r="Q35" s="4">
        <v>20371</v>
      </c>
      <c r="R35" s="4">
        <v>82</v>
      </c>
      <c r="S35" s="3">
        <v>1697</v>
      </c>
      <c r="T35" s="4">
        <v>0</v>
      </c>
      <c r="U35" s="5">
        <f t="shared" si="0"/>
        <v>22150</v>
      </c>
      <c r="V35" s="3">
        <v>1019</v>
      </c>
      <c r="W35" s="3">
        <v>0</v>
      </c>
      <c r="X35" s="3">
        <v>0</v>
      </c>
      <c r="Y35" s="11">
        <v>373</v>
      </c>
      <c r="Z35" s="5"/>
      <c r="AA35" s="3"/>
      <c r="AB35" s="5"/>
      <c r="AC35" s="3">
        <v>270</v>
      </c>
      <c r="AD35" s="5">
        <f t="shared" si="2"/>
        <v>23812</v>
      </c>
      <c r="AE35" s="4">
        <v>2101</v>
      </c>
      <c r="AF35" s="4">
        <v>153</v>
      </c>
      <c r="AG35" s="3">
        <v>0</v>
      </c>
      <c r="AH35" s="3">
        <v>20</v>
      </c>
      <c r="AI35" s="3">
        <v>0</v>
      </c>
      <c r="AJ35" s="3">
        <v>0</v>
      </c>
      <c r="AK35" s="4">
        <v>0</v>
      </c>
      <c r="AL35" s="5">
        <f t="shared" si="3"/>
        <v>2274</v>
      </c>
      <c r="AM35" s="5">
        <f t="shared" si="4"/>
        <v>21538</v>
      </c>
    </row>
    <row r="36" spans="1:39" x14ac:dyDescent="0.35">
      <c r="A36" s="3" t="s">
        <v>84</v>
      </c>
      <c r="B36" t="s">
        <v>2</v>
      </c>
      <c r="C36" s="2" t="s">
        <v>16</v>
      </c>
      <c r="D36" s="3" t="s">
        <v>85</v>
      </c>
      <c r="E36" s="3" t="s">
        <v>170</v>
      </c>
      <c r="F36" s="3" t="s">
        <v>159</v>
      </c>
      <c r="G36" s="6" t="s">
        <v>206</v>
      </c>
      <c r="H36" s="9" t="s">
        <v>283</v>
      </c>
      <c r="I36" s="9">
        <v>2020023198</v>
      </c>
      <c r="J36">
        <v>30</v>
      </c>
      <c r="K36" s="3">
        <v>30</v>
      </c>
      <c r="L36" s="3">
        <v>20371</v>
      </c>
      <c r="M36" s="3">
        <v>0</v>
      </c>
      <c r="N36" s="3">
        <v>1697</v>
      </c>
      <c r="O36" s="3">
        <v>0</v>
      </c>
      <c r="P36" s="3">
        <v>22068</v>
      </c>
      <c r="Q36" s="4">
        <v>20371</v>
      </c>
      <c r="R36" s="4">
        <v>82</v>
      </c>
      <c r="S36" s="3">
        <v>1697</v>
      </c>
      <c r="T36" s="4">
        <v>0</v>
      </c>
      <c r="U36" s="5">
        <f t="shared" si="0"/>
        <v>22150</v>
      </c>
      <c r="V36" s="3">
        <v>1019</v>
      </c>
      <c r="W36" s="3">
        <v>0</v>
      </c>
      <c r="X36" s="3">
        <v>0</v>
      </c>
      <c r="Y36" s="11">
        <v>373</v>
      </c>
      <c r="Z36" s="5"/>
      <c r="AA36" s="3"/>
      <c r="AB36" s="5"/>
      <c r="AC36" s="3">
        <v>180</v>
      </c>
      <c r="AD36" s="5">
        <f t="shared" si="2"/>
        <v>23722</v>
      </c>
      <c r="AE36" s="4">
        <v>2101</v>
      </c>
      <c r="AF36" s="4">
        <v>153</v>
      </c>
      <c r="AG36" s="3">
        <v>0</v>
      </c>
      <c r="AH36" s="3">
        <v>20</v>
      </c>
      <c r="AI36" s="3">
        <v>0</v>
      </c>
      <c r="AJ36" s="3">
        <v>0</v>
      </c>
      <c r="AK36" s="4">
        <v>0</v>
      </c>
      <c r="AL36" s="5">
        <f t="shared" si="3"/>
        <v>2274</v>
      </c>
      <c r="AM36" s="5">
        <f t="shared" si="4"/>
        <v>21448</v>
      </c>
    </row>
    <row r="37" spans="1:39" x14ac:dyDescent="0.35">
      <c r="A37" s="3" t="s">
        <v>86</v>
      </c>
      <c r="B37" t="s">
        <v>2</v>
      </c>
      <c r="C37" s="2" t="s">
        <v>16</v>
      </c>
      <c r="D37" s="3" t="s">
        <v>87</v>
      </c>
      <c r="E37" s="3" t="s">
        <v>170</v>
      </c>
      <c r="F37" s="3" t="s">
        <v>159</v>
      </c>
      <c r="G37" s="6" t="s">
        <v>207</v>
      </c>
      <c r="H37" s="9" t="s">
        <v>284</v>
      </c>
      <c r="I37" s="9">
        <v>2020009219</v>
      </c>
      <c r="J37">
        <v>30</v>
      </c>
      <c r="K37" s="3">
        <v>30</v>
      </c>
      <c r="L37" s="3">
        <v>20371</v>
      </c>
      <c r="M37" s="3">
        <v>0</v>
      </c>
      <c r="N37" s="3">
        <v>1697</v>
      </c>
      <c r="O37" s="3">
        <v>0</v>
      </c>
      <c r="P37" s="3">
        <v>22068</v>
      </c>
      <c r="Q37" s="4">
        <v>20371</v>
      </c>
      <c r="R37" s="4">
        <v>82</v>
      </c>
      <c r="S37" s="3">
        <v>1697</v>
      </c>
      <c r="T37" s="4">
        <v>0</v>
      </c>
      <c r="U37" s="5">
        <f t="shared" si="0"/>
        <v>22150</v>
      </c>
      <c r="V37" s="3">
        <v>1019</v>
      </c>
      <c r="W37" s="3">
        <v>0</v>
      </c>
      <c r="X37" s="3">
        <v>0</v>
      </c>
      <c r="Y37" s="11">
        <v>373</v>
      </c>
      <c r="Z37" s="5"/>
      <c r="AA37" s="3"/>
      <c r="AB37" s="5"/>
      <c r="AC37" s="3">
        <v>90</v>
      </c>
      <c r="AD37" s="5">
        <f t="shared" si="2"/>
        <v>23632</v>
      </c>
      <c r="AE37" s="4">
        <v>2101</v>
      </c>
      <c r="AF37" s="4">
        <v>153</v>
      </c>
      <c r="AG37" s="3">
        <v>0</v>
      </c>
      <c r="AH37" s="3">
        <v>20</v>
      </c>
      <c r="AI37" s="3">
        <v>0</v>
      </c>
      <c r="AJ37" s="3">
        <v>0</v>
      </c>
      <c r="AK37" s="4">
        <v>0</v>
      </c>
      <c r="AL37" s="5">
        <f t="shared" si="3"/>
        <v>2274</v>
      </c>
      <c r="AM37" s="5">
        <f t="shared" si="4"/>
        <v>21358</v>
      </c>
    </row>
    <row r="38" spans="1:39" x14ac:dyDescent="0.35">
      <c r="A38" s="3" t="s">
        <v>88</v>
      </c>
      <c r="B38" t="s">
        <v>2</v>
      </c>
      <c r="C38" s="2" t="s">
        <v>16</v>
      </c>
      <c r="D38" s="3" t="s">
        <v>89</v>
      </c>
      <c r="E38" s="3" t="s">
        <v>170</v>
      </c>
      <c r="F38" s="3" t="s">
        <v>159</v>
      </c>
      <c r="G38" s="6" t="s">
        <v>208</v>
      </c>
      <c r="H38" s="8" t="s">
        <v>285</v>
      </c>
      <c r="I38" s="9">
        <v>1116692654</v>
      </c>
      <c r="J38">
        <v>30</v>
      </c>
      <c r="K38" s="3">
        <v>30</v>
      </c>
      <c r="L38" s="3">
        <v>20371</v>
      </c>
      <c r="M38" s="3">
        <v>0</v>
      </c>
      <c r="N38" s="3">
        <v>1697</v>
      </c>
      <c r="O38" s="3">
        <v>0</v>
      </c>
      <c r="P38" s="3">
        <v>22068</v>
      </c>
      <c r="Q38" s="4">
        <v>20371</v>
      </c>
      <c r="R38" s="4">
        <v>82</v>
      </c>
      <c r="S38" s="3">
        <v>1697</v>
      </c>
      <c r="T38" s="4">
        <v>0</v>
      </c>
      <c r="U38" s="5">
        <f t="shared" si="0"/>
        <v>22150</v>
      </c>
      <c r="V38" s="3">
        <v>340</v>
      </c>
      <c r="W38" s="3">
        <v>0</v>
      </c>
      <c r="X38" s="3">
        <v>0</v>
      </c>
      <c r="Y38" s="11">
        <v>373</v>
      </c>
      <c r="Z38" s="5"/>
      <c r="AA38" s="3"/>
      <c r="AB38" s="5"/>
      <c r="AC38" s="3">
        <v>180</v>
      </c>
      <c r="AD38" s="5">
        <f t="shared" si="2"/>
        <v>23043</v>
      </c>
      <c r="AE38" s="4">
        <v>2101</v>
      </c>
      <c r="AF38" s="4">
        <v>153</v>
      </c>
      <c r="AG38" s="3">
        <v>0</v>
      </c>
      <c r="AH38" s="3">
        <v>20</v>
      </c>
      <c r="AI38" s="3">
        <v>0</v>
      </c>
      <c r="AJ38" s="3">
        <v>0</v>
      </c>
      <c r="AK38" s="4">
        <v>0</v>
      </c>
      <c r="AL38" s="5">
        <f t="shared" si="3"/>
        <v>2274</v>
      </c>
      <c r="AM38" s="5">
        <f t="shared" si="4"/>
        <v>20769</v>
      </c>
    </row>
    <row r="39" spans="1:39" x14ac:dyDescent="0.35">
      <c r="A39" s="3" t="s">
        <v>90</v>
      </c>
      <c r="B39" t="s">
        <v>2</v>
      </c>
      <c r="C39" s="2" t="s">
        <v>16</v>
      </c>
      <c r="D39" s="3" t="s">
        <v>91</v>
      </c>
      <c r="E39" s="3" t="s">
        <v>170</v>
      </c>
      <c r="F39" s="3" t="s">
        <v>159</v>
      </c>
      <c r="G39" s="6" t="s">
        <v>209</v>
      </c>
      <c r="H39" s="8" t="s">
        <v>286</v>
      </c>
      <c r="I39" s="9">
        <v>6933088357</v>
      </c>
      <c r="J39">
        <v>30</v>
      </c>
      <c r="K39" s="3">
        <v>28</v>
      </c>
      <c r="L39" s="3">
        <v>21100</v>
      </c>
      <c r="M39" s="3">
        <v>390</v>
      </c>
      <c r="N39" s="3">
        <v>0</v>
      </c>
      <c r="O39" s="3">
        <v>0</v>
      </c>
      <c r="P39" s="3">
        <v>21490</v>
      </c>
      <c r="Q39" s="4">
        <v>19693</v>
      </c>
      <c r="R39" s="4">
        <v>706</v>
      </c>
      <c r="S39" s="3">
        <v>0</v>
      </c>
      <c r="T39" s="4">
        <v>0</v>
      </c>
      <c r="U39" s="5">
        <f t="shared" si="0"/>
        <v>20399</v>
      </c>
      <c r="V39" s="3">
        <v>352</v>
      </c>
      <c r="W39" s="3">
        <v>0</v>
      </c>
      <c r="X39" s="3">
        <v>0</v>
      </c>
      <c r="Y39" s="11">
        <v>683</v>
      </c>
      <c r="Z39" s="5"/>
      <c r="AA39" s="3"/>
      <c r="AB39" s="5"/>
      <c r="AC39" s="3">
        <v>180</v>
      </c>
      <c r="AD39" s="5">
        <f t="shared" si="2"/>
        <v>21614</v>
      </c>
      <c r="AE39" s="4">
        <v>2022</v>
      </c>
      <c r="AF39" s="4">
        <v>0</v>
      </c>
      <c r="AG39" s="3">
        <v>0</v>
      </c>
      <c r="AH39" s="3">
        <v>20</v>
      </c>
      <c r="AI39" s="3">
        <v>0</v>
      </c>
      <c r="AJ39" s="3">
        <v>0</v>
      </c>
      <c r="AK39" s="4">
        <v>0</v>
      </c>
      <c r="AL39" s="5">
        <f t="shared" si="3"/>
        <v>2042</v>
      </c>
      <c r="AM39" s="5">
        <f t="shared" si="4"/>
        <v>19572</v>
      </c>
    </row>
    <row r="40" spans="1:39" x14ac:dyDescent="0.35">
      <c r="A40" s="3" t="s">
        <v>92</v>
      </c>
      <c r="B40" t="s">
        <v>2</v>
      </c>
      <c r="C40" s="2" t="s">
        <v>16</v>
      </c>
      <c r="D40" s="3" t="s">
        <v>93</v>
      </c>
      <c r="E40" s="3" t="s">
        <v>170</v>
      </c>
      <c r="F40" s="3" t="s">
        <v>159</v>
      </c>
      <c r="G40" s="6" t="s">
        <v>210</v>
      </c>
      <c r="H40" s="9" t="s">
        <v>287</v>
      </c>
      <c r="I40" s="9">
        <v>2020067688</v>
      </c>
      <c r="J40">
        <v>30</v>
      </c>
      <c r="K40" s="3">
        <v>27.5</v>
      </c>
      <c r="L40" s="3">
        <v>20371</v>
      </c>
      <c r="M40" s="3">
        <v>0</v>
      </c>
      <c r="N40" s="3">
        <v>1697</v>
      </c>
      <c r="O40" s="3">
        <v>0</v>
      </c>
      <c r="P40" s="3">
        <v>22068</v>
      </c>
      <c r="Q40" s="4">
        <v>18673</v>
      </c>
      <c r="R40" s="4">
        <v>69</v>
      </c>
      <c r="S40" s="3">
        <v>1556</v>
      </c>
      <c r="T40" s="4">
        <v>0</v>
      </c>
      <c r="U40" s="5">
        <f t="shared" si="0"/>
        <v>20298</v>
      </c>
      <c r="V40" s="3">
        <v>0</v>
      </c>
      <c r="W40" s="3">
        <v>0</v>
      </c>
      <c r="X40" s="3">
        <v>0</v>
      </c>
      <c r="Y40" s="11">
        <v>373</v>
      </c>
      <c r="Z40" s="5"/>
      <c r="AA40" s="3"/>
      <c r="AB40" s="5"/>
      <c r="AC40" s="3">
        <v>0</v>
      </c>
      <c r="AD40" s="5">
        <f t="shared" si="2"/>
        <v>20671</v>
      </c>
      <c r="AE40" s="4">
        <v>1951</v>
      </c>
      <c r="AF40" s="4">
        <v>140</v>
      </c>
      <c r="AG40" s="3">
        <v>0</v>
      </c>
      <c r="AH40" s="3">
        <v>20</v>
      </c>
      <c r="AI40" s="3">
        <v>0</v>
      </c>
      <c r="AJ40" s="3">
        <v>0</v>
      </c>
      <c r="AK40" s="4">
        <v>0</v>
      </c>
      <c r="AL40" s="5">
        <f t="shared" si="3"/>
        <v>2111</v>
      </c>
      <c r="AM40" s="5">
        <f t="shared" si="4"/>
        <v>18560</v>
      </c>
    </row>
    <row r="41" spans="1:39" x14ac:dyDescent="0.35">
      <c r="A41" s="3" t="s">
        <v>94</v>
      </c>
      <c r="B41" t="s">
        <v>2</v>
      </c>
      <c r="C41" s="2" t="s">
        <v>16</v>
      </c>
      <c r="D41" s="3" t="s">
        <v>95</v>
      </c>
      <c r="E41" s="3" t="s">
        <v>169</v>
      </c>
      <c r="F41" s="3" t="s">
        <v>159</v>
      </c>
      <c r="G41" s="6" t="s">
        <v>211</v>
      </c>
      <c r="H41" s="8" t="s">
        <v>288</v>
      </c>
      <c r="I41" s="9">
        <v>1116545631</v>
      </c>
      <c r="J41">
        <v>30</v>
      </c>
      <c r="K41" s="3">
        <v>25</v>
      </c>
      <c r="L41" s="3">
        <v>21100</v>
      </c>
      <c r="M41" s="3">
        <v>390</v>
      </c>
      <c r="N41" s="3">
        <v>0</v>
      </c>
      <c r="O41" s="3">
        <v>0</v>
      </c>
      <c r="P41" s="3">
        <v>21490</v>
      </c>
      <c r="Q41" s="4">
        <v>17583</v>
      </c>
      <c r="R41" s="4">
        <v>618</v>
      </c>
      <c r="S41" s="3">
        <v>0</v>
      </c>
      <c r="T41" s="4">
        <v>0</v>
      </c>
      <c r="U41" s="5">
        <f t="shared" si="0"/>
        <v>18201</v>
      </c>
      <c r="V41" s="3">
        <v>352</v>
      </c>
      <c r="W41" s="3">
        <v>0</v>
      </c>
      <c r="X41" s="3">
        <v>200</v>
      </c>
      <c r="Y41" s="11">
        <v>634</v>
      </c>
      <c r="Z41" s="5"/>
      <c r="AA41" s="3"/>
      <c r="AB41" s="5"/>
      <c r="AC41" s="3">
        <v>0</v>
      </c>
      <c r="AD41" s="5">
        <f t="shared" si="2"/>
        <v>19387</v>
      </c>
      <c r="AE41" s="4">
        <v>1817</v>
      </c>
      <c r="AF41" s="4">
        <v>0</v>
      </c>
      <c r="AG41" s="3">
        <v>0</v>
      </c>
      <c r="AH41" s="3">
        <v>20</v>
      </c>
      <c r="AI41" s="3">
        <v>0</v>
      </c>
      <c r="AJ41" s="3">
        <v>0</v>
      </c>
      <c r="AK41" s="4">
        <v>0</v>
      </c>
      <c r="AL41" s="5">
        <f t="shared" si="3"/>
        <v>1837</v>
      </c>
      <c r="AM41" s="5">
        <f t="shared" si="4"/>
        <v>17550</v>
      </c>
    </row>
    <row r="42" spans="1:39" x14ac:dyDescent="0.35">
      <c r="A42" s="3" t="s">
        <v>96</v>
      </c>
      <c r="B42" t="s">
        <v>2</v>
      </c>
      <c r="C42" s="2" t="s">
        <v>16</v>
      </c>
      <c r="D42" s="3" t="s">
        <v>97</v>
      </c>
      <c r="E42" s="3" t="s">
        <v>170</v>
      </c>
      <c r="F42" s="3" t="s">
        <v>159</v>
      </c>
      <c r="G42" s="6" t="s">
        <v>212</v>
      </c>
      <c r="H42" s="8" t="s">
        <v>289</v>
      </c>
      <c r="I42" s="9">
        <v>2019069609</v>
      </c>
      <c r="J42">
        <v>30</v>
      </c>
      <c r="K42" s="3">
        <v>23</v>
      </c>
      <c r="L42" s="3">
        <v>21100</v>
      </c>
      <c r="M42" s="3">
        <v>390</v>
      </c>
      <c r="N42" s="3">
        <v>0</v>
      </c>
      <c r="O42" s="3">
        <v>0</v>
      </c>
      <c r="P42" s="3">
        <v>21490</v>
      </c>
      <c r="Q42" s="4">
        <v>16177</v>
      </c>
      <c r="R42" s="4">
        <v>519</v>
      </c>
      <c r="S42" s="3">
        <v>0</v>
      </c>
      <c r="T42" s="4">
        <v>0</v>
      </c>
      <c r="U42" s="5">
        <f t="shared" si="0"/>
        <v>16696</v>
      </c>
      <c r="V42" s="3">
        <v>352</v>
      </c>
      <c r="W42" s="3">
        <v>0</v>
      </c>
      <c r="X42" s="3">
        <v>0</v>
      </c>
      <c r="Y42" s="11">
        <v>683</v>
      </c>
      <c r="Z42" s="5"/>
      <c r="AA42" s="3"/>
      <c r="AB42" s="5"/>
      <c r="AC42" s="3">
        <v>90</v>
      </c>
      <c r="AD42" s="5">
        <f t="shared" si="2"/>
        <v>17821</v>
      </c>
      <c r="AE42" s="4">
        <v>1722</v>
      </c>
      <c r="AF42" s="4">
        <v>0</v>
      </c>
      <c r="AG42" s="3">
        <v>0</v>
      </c>
      <c r="AH42" s="3">
        <v>20</v>
      </c>
      <c r="AI42" s="3">
        <v>0</v>
      </c>
      <c r="AJ42" s="3">
        <v>0</v>
      </c>
      <c r="AK42" s="4">
        <v>0</v>
      </c>
      <c r="AL42" s="5">
        <f t="shared" si="3"/>
        <v>1742</v>
      </c>
      <c r="AM42" s="5">
        <f t="shared" si="4"/>
        <v>16079</v>
      </c>
    </row>
    <row r="43" spans="1:39" x14ac:dyDescent="0.35">
      <c r="A43" s="3" t="s">
        <v>98</v>
      </c>
      <c r="B43" t="s">
        <v>2</v>
      </c>
      <c r="C43" s="2" t="s">
        <v>16</v>
      </c>
      <c r="D43" s="3" t="s">
        <v>99</v>
      </c>
      <c r="E43" s="3" t="s">
        <v>169</v>
      </c>
      <c r="F43" s="3" t="s">
        <v>159</v>
      </c>
      <c r="G43" s="6" t="s">
        <v>213</v>
      </c>
      <c r="H43" s="8" t="s">
        <v>290</v>
      </c>
      <c r="I43" s="9">
        <v>1115867163</v>
      </c>
      <c r="J43">
        <v>30</v>
      </c>
      <c r="K43" s="3">
        <v>16</v>
      </c>
      <c r="L43" s="3">
        <v>20371</v>
      </c>
      <c r="M43" s="3">
        <v>0</v>
      </c>
      <c r="N43" s="3">
        <v>1697</v>
      </c>
      <c r="O43" s="3">
        <v>0</v>
      </c>
      <c r="P43" s="3">
        <v>22068</v>
      </c>
      <c r="Q43" s="4">
        <v>10865</v>
      </c>
      <c r="R43" s="4">
        <v>82</v>
      </c>
      <c r="S43" s="3">
        <v>905</v>
      </c>
      <c r="T43" s="4">
        <v>0</v>
      </c>
      <c r="U43" s="5">
        <f t="shared" si="0"/>
        <v>11852</v>
      </c>
      <c r="V43" s="3">
        <v>340</v>
      </c>
      <c r="W43" s="3">
        <v>0</v>
      </c>
      <c r="X43" s="3">
        <v>120</v>
      </c>
      <c r="Y43" s="11">
        <v>0</v>
      </c>
      <c r="Z43" s="5"/>
      <c r="AA43" s="3"/>
      <c r="AB43" s="5"/>
      <c r="AC43" s="3">
        <v>0</v>
      </c>
      <c r="AD43" s="5">
        <f t="shared" si="2"/>
        <v>12312</v>
      </c>
      <c r="AE43" s="4">
        <v>960</v>
      </c>
      <c r="AF43" s="4">
        <v>81</v>
      </c>
      <c r="AG43" s="3">
        <v>0</v>
      </c>
      <c r="AH43" s="3">
        <v>20</v>
      </c>
      <c r="AI43" s="3">
        <v>0</v>
      </c>
      <c r="AJ43" s="3">
        <v>0</v>
      </c>
      <c r="AK43" s="4">
        <v>5149.2</v>
      </c>
      <c r="AL43" s="5">
        <f t="shared" si="3"/>
        <v>6210</v>
      </c>
      <c r="AM43" s="5">
        <f t="shared" si="4"/>
        <v>6102</v>
      </c>
    </row>
    <row r="44" spans="1:39" x14ac:dyDescent="0.35">
      <c r="A44" s="3" t="s">
        <v>100</v>
      </c>
      <c r="B44" t="s">
        <v>2</v>
      </c>
      <c r="C44" s="2" t="s">
        <v>16</v>
      </c>
      <c r="D44" s="3" t="s">
        <v>101</v>
      </c>
      <c r="E44" s="3" t="s">
        <v>170</v>
      </c>
      <c r="F44" s="3" t="s">
        <v>159</v>
      </c>
      <c r="G44" s="6" t="s">
        <v>214</v>
      </c>
      <c r="H44" s="9" t="s">
        <v>291</v>
      </c>
      <c r="I44" s="9" t="s">
        <v>292</v>
      </c>
      <c r="J44">
        <v>30</v>
      </c>
      <c r="K44" s="3">
        <v>3</v>
      </c>
      <c r="L44" s="3">
        <v>20371</v>
      </c>
      <c r="M44" s="3">
        <v>0</v>
      </c>
      <c r="N44" s="3">
        <v>1697</v>
      </c>
      <c r="O44" s="3">
        <v>0</v>
      </c>
      <c r="P44" s="3">
        <v>22068</v>
      </c>
      <c r="Q44" s="4">
        <v>2037</v>
      </c>
      <c r="R44" s="4">
        <v>0</v>
      </c>
      <c r="S44" s="3">
        <v>170</v>
      </c>
      <c r="T44" s="4">
        <v>0</v>
      </c>
      <c r="U44" s="5">
        <f t="shared" si="0"/>
        <v>2207</v>
      </c>
      <c r="V44" s="3">
        <v>0</v>
      </c>
      <c r="W44" s="3">
        <v>0</v>
      </c>
      <c r="X44" s="3">
        <v>0</v>
      </c>
      <c r="Y44" s="11">
        <v>80</v>
      </c>
      <c r="Z44" s="5"/>
      <c r="AA44" s="3"/>
      <c r="AB44" s="5"/>
      <c r="AC44" s="3">
        <v>0</v>
      </c>
      <c r="AD44" s="5">
        <f t="shared" si="2"/>
        <v>2287</v>
      </c>
      <c r="AE44" s="4">
        <v>244</v>
      </c>
      <c r="AF44" s="4">
        <v>15</v>
      </c>
      <c r="AG44" s="3">
        <v>0</v>
      </c>
      <c r="AH44" s="3">
        <v>20</v>
      </c>
      <c r="AI44" s="3">
        <v>0</v>
      </c>
      <c r="AJ44" s="3">
        <v>0</v>
      </c>
      <c r="AK44" s="4">
        <v>0</v>
      </c>
      <c r="AL44" s="5">
        <f t="shared" si="3"/>
        <v>279</v>
      </c>
      <c r="AM44" s="5">
        <f t="shared" si="4"/>
        <v>2008</v>
      </c>
    </row>
    <row r="45" spans="1:39" x14ac:dyDescent="0.35">
      <c r="A45" s="3" t="s">
        <v>102</v>
      </c>
      <c r="B45" t="s">
        <v>2</v>
      </c>
      <c r="C45" s="2" t="s">
        <v>16</v>
      </c>
      <c r="D45" s="3" t="s">
        <v>103</v>
      </c>
      <c r="E45" s="3" t="s">
        <v>170</v>
      </c>
      <c r="F45" s="3" t="s">
        <v>159</v>
      </c>
      <c r="G45" s="6" t="s">
        <v>215</v>
      </c>
      <c r="H45" s="9" t="s">
        <v>293</v>
      </c>
      <c r="I45" s="9">
        <v>2020047028</v>
      </c>
      <c r="J45">
        <v>30</v>
      </c>
      <c r="K45" s="3">
        <v>7</v>
      </c>
      <c r="L45" s="3">
        <v>20371</v>
      </c>
      <c r="M45" s="3">
        <v>0</v>
      </c>
      <c r="N45" s="3">
        <v>1697</v>
      </c>
      <c r="O45" s="3">
        <v>0</v>
      </c>
      <c r="P45" s="3">
        <v>22068</v>
      </c>
      <c r="Q45" s="4">
        <v>4753</v>
      </c>
      <c r="R45" s="4">
        <v>36</v>
      </c>
      <c r="S45" s="3">
        <v>396</v>
      </c>
      <c r="T45" s="4">
        <v>0</v>
      </c>
      <c r="U45" s="5">
        <f t="shared" si="0"/>
        <v>5185</v>
      </c>
      <c r="V45" s="3">
        <v>1019</v>
      </c>
      <c r="W45" s="3">
        <v>0</v>
      </c>
      <c r="X45" s="3">
        <v>0</v>
      </c>
      <c r="Y45" s="11">
        <v>0</v>
      </c>
      <c r="Z45" s="5"/>
      <c r="AA45" s="3"/>
      <c r="AB45" s="5"/>
      <c r="AC45" s="3">
        <v>180</v>
      </c>
      <c r="AD45" s="5">
        <f t="shared" si="2"/>
        <v>6384</v>
      </c>
      <c r="AE45" s="4">
        <v>420</v>
      </c>
      <c r="AF45" s="4">
        <v>36</v>
      </c>
      <c r="AG45" s="3">
        <v>0</v>
      </c>
      <c r="AH45" s="3">
        <v>20</v>
      </c>
      <c r="AI45" s="3">
        <v>0</v>
      </c>
      <c r="AJ45" s="3">
        <v>0</v>
      </c>
      <c r="AK45" s="4">
        <v>5149.2</v>
      </c>
      <c r="AL45" s="5">
        <f t="shared" si="3"/>
        <v>5625</v>
      </c>
      <c r="AM45" s="5">
        <f t="shared" si="4"/>
        <v>759</v>
      </c>
    </row>
    <row r="46" spans="1:39" x14ac:dyDescent="0.35">
      <c r="A46" s="3" t="s">
        <v>104</v>
      </c>
      <c r="B46" t="s">
        <v>2</v>
      </c>
      <c r="C46" s="2" t="s">
        <v>16</v>
      </c>
      <c r="D46" s="3" t="s">
        <v>105</v>
      </c>
      <c r="E46" s="3" t="s">
        <v>171</v>
      </c>
      <c r="F46" s="3" t="s">
        <v>160</v>
      </c>
      <c r="G46" s="6">
        <v>0</v>
      </c>
      <c r="H46" s="9" t="e">
        <v>#N/A</v>
      </c>
      <c r="I46" s="9" t="s">
        <v>294</v>
      </c>
      <c r="J46">
        <v>30</v>
      </c>
      <c r="K46" s="3">
        <v>1</v>
      </c>
      <c r="L46" s="3">
        <v>20371</v>
      </c>
      <c r="M46" s="3">
        <v>0</v>
      </c>
      <c r="N46" s="3">
        <v>1697</v>
      </c>
      <c r="O46" s="3">
        <v>0</v>
      </c>
      <c r="P46" s="3">
        <v>22068</v>
      </c>
      <c r="Q46" s="4">
        <v>679</v>
      </c>
      <c r="R46" s="4">
        <v>0</v>
      </c>
      <c r="S46" s="3">
        <v>57</v>
      </c>
      <c r="T46" s="4">
        <v>0</v>
      </c>
      <c r="U46" s="5">
        <f t="shared" si="0"/>
        <v>736</v>
      </c>
      <c r="V46" s="3">
        <v>0</v>
      </c>
      <c r="W46" s="3">
        <v>0</v>
      </c>
      <c r="X46" s="3">
        <v>10</v>
      </c>
      <c r="Y46" s="11">
        <v>27</v>
      </c>
      <c r="Z46" s="5"/>
      <c r="AA46" s="3"/>
      <c r="AB46" s="5"/>
      <c r="AC46" s="3">
        <v>0</v>
      </c>
      <c r="AD46" s="5">
        <f t="shared" si="2"/>
        <v>773</v>
      </c>
      <c r="AE46" s="4">
        <v>81</v>
      </c>
      <c r="AF46" s="4">
        <v>5</v>
      </c>
      <c r="AG46" s="3">
        <v>0</v>
      </c>
      <c r="AH46" s="3">
        <v>20</v>
      </c>
      <c r="AI46" s="3">
        <v>0</v>
      </c>
      <c r="AJ46" s="3">
        <v>0</v>
      </c>
      <c r="AK46" s="4">
        <v>0</v>
      </c>
      <c r="AL46" s="5">
        <f t="shared" si="3"/>
        <v>106</v>
      </c>
      <c r="AM46" s="5">
        <f t="shared" si="4"/>
        <v>667</v>
      </c>
    </row>
    <row r="47" spans="1:39" x14ac:dyDescent="0.35">
      <c r="A47" s="3" t="s">
        <v>106</v>
      </c>
      <c r="B47" t="s">
        <v>2</v>
      </c>
      <c r="C47" s="2" t="s">
        <v>16</v>
      </c>
      <c r="D47" s="3" t="s">
        <v>107</v>
      </c>
      <c r="E47" s="3" t="s">
        <v>169</v>
      </c>
      <c r="F47" s="3" t="s">
        <v>161</v>
      </c>
      <c r="G47" s="6" t="s">
        <v>216</v>
      </c>
      <c r="H47" s="8" t="s">
        <v>295</v>
      </c>
      <c r="I47" s="9">
        <v>1324653568</v>
      </c>
      <c r="J47">
        <v>30</v>
      </c>
      <c r="K47" s="3">
        <v>30</v>
      </c>
      <c r="L47" s="3">
        <v>19279</v>
      </c>
      <c r="M47" s="3">
        <v>0</v>
      </c>
      <c r="N47" s="3">
        <v>1398</v>
      </c>
      <c r="O47" s="3">
        <v>0</v>
      </c>
      <c r="P47" s="3">
        <v>20677</v>
      </c>
      <c r="Q47" s="4">
        <v>19279</v>
      </c>
      <c r="R47" s="4">
        <v>105</v>
      </c>
      <c r="S47" s="3">
        <v>1398</v>
      </c>
      <c r="T47" s="4">
        <v>0</v>
      </c>
      <c r="U47" s="5">
        <f t="shared" si="0"/>
        <v>20782</v>
      </c>
      <c r="V47" s="3">
        <v>964</v>
      </c>
      <c r="W47" s="3">
        <v>1000</v>
      </c>
      <c r="X47" s="3">
        <v>250</v>
      </c>
      <c r="Y47" s="11">
        <v>1132</v>
      </c>
      <c r="Z47" s="5"/>
      <c r="AA47" s="3"/>
      <c r="AB47" s="5"/>
      <c r="AC47" s="3">
        <v>0</v>
      </c>
      <c r="AD47" s="5">
        <f t="shared" si="2"/>
        <v>24128</v>
      </c>
      <c r="AE47" s="4">
        <v>2040</v>
      </c>
      <c r="AF47" s="4">
        <v>145</v>
      </c>
      <c r="AG47" s="3">
        <v>35</v>
      </c>
      <c r="AH47" s="3">
        <v>20</v>
      </c>
      <c r="AI47" s="3">
        <v>0</v>
      </c>
      <c r="AJ47" s="3">
        <v>588</v>
      </c>
      <c r="AK47" s="4">
        <v>0</v>
      </c>
      <c r="AL47" s="5">
        <f t="shared" si="3"/>
        <v>2828</v>
      </c>
      <c r="AM47" s="5">
        <f t="shared" si="4"/>
        <v>21300</v>
      </c>
    </row>
    <row r="48" spans="1:39" x14ac:dyDescent="0.35">
      <c r="A48" s="3" t="s">
        <v>108</v>
      </c>
      <c r="B48" t="s">
        <v>2</v>
      </c>
      <c r="C48" s="2" t="s">
        <v>16</v>
      </c>
      <c r="D48" s="3" t="s">
        <v>109</v>
      </c>
      <c r="E48" s="3" t="s">
        <v>170</v>
      </c>
      <c r="F48" s="3" t="s">
        <v>161</v>
      </c>
      <c r="G48" s="6" t="s">
        <v>217</v>
      </c>
      <c r="H48" s="8" t="s">
        <v>296</v>
      </c>
      <c r="I48" s="9">
        <v>6936713933</v>
      </c>
      <c r="J48">
        <v>30</v>
      </c>
      <c r="K48" s="3">
        <v>29</v>
      </c>
      <c r="L48" s="3">
        <v>16781</v>
      </c>
      <c r="M48" s="3">
        <v>0</v>
      </c>
      <c r="N48" s="3">
        <v>1398</v>
      </c>
      <c r="O48" s="3">
        <v>0</v>
      </c>
      <c r="P48" s="3">
        <v>18179</v>
      </c>
      <c r="Q48" s="4">
        <v>16222</v>
      </c>
      <c r="R48" s="4">
        <v>0</v>
      </c>
      <c r="S48" s="3">
        <v>1351</v>
      </c>
      <c r="T48" s="4">
        <v>0</v>
      </c>
      <c r="U48" s="5">
        <f t="shared" si="0"/>
        <v>17573</v>
      </c>
      <c r="V48" s="3">
        <v>839</v>
      </c>
      <c r="W48" s="3">
        <v>1000</v>
      </c>
      <c r="X48" s="3">
        <v>0</v>
      </c>
      <c r="Y48" s="11">
        <v>0</v>
      </c>
      <c r="Z48" s="5"/>
      <c r="AA48" s="3"/>
      <c r="AB48" s="5"/>
      <c r="AC48" s="3">
        <v>0</v>
      </c>
      <c r="AD48" s="5">
        <f t="shared" si="2"/>
        <v>19412</v>
      </c>
      <c r="AE48" s="4">
        <v>1833</v>
      </c>
      <c r="AF48" s="4">
        <v>122</v>
      </c>
      <c r="AG48" s="3">
        <v>35</v>
      </c>
      <c r="AH48" s="3">
        <v>20</v>
      </c>
      <c r="AI48" s="3">
        <v>0</v>
      </c>
      <c r="AJ48" s="3">
        <v>0</v>
      </c>
      <c r="AK48" s="4">
        <v>0</v>
      </c>
      <c r="AL48" s="5">
        <f t="shared" si="3"/>
        <v>2010</v>
      </c>
      <c r="AM48" s="5">
        <f t="shared" si="4"/>
        <v>17402</v>
      </c>
    </row>
    <row r="49" spans="1:39" x14ac:dyDescent="0.35">
      <c r="A49" s="3" t="s">
        <v>110</v>
      </c>
      <c r="B49" t="s">
        <v>2</v>
      </c>
      <c r="C49" s="2" t="s">
        <v>16</v>
      </c>
      <c r="D49" s="3" t="s">
        <v>111</v>
      </c>
      <c r="E49" s="3" t="s">
        <v>172</v>
      </c>
      <c r="F49" s="3" t="s">
        <v>161</v>
      </c>
      <c r="G49" s="6" t="s">
        <v>218</v>
      </c>
      <c r="H49" s="8" t="s">
        <v>297</v>
      </c>
      <c r="I49" s="9">
        <v>2019641346</v>
      </c>
      <c r="J49">
        <v>30</v>
      </c>
      <c r="K49" s="3">
        <v>27</v>
      </c>
      <c r="L49" s="3">
        <v>16781</v>
      </c>
      <c r="M49" s="3">
        <v>0</v>
      </c>
      <c r="N49" s="3">
        <v>1398</v>
      </c>
      <c r="O49" s="3">
        <v>0</v>
      </c>
      <c r="P49" s="3">
        <v>18179</v>
      </c>
      <c r="Q49" s="4">
        <v>15103</v>
      </c>
      <c r="R49" s="4">
        <v>0</v>
      </c>
      <c r="S49" s="3">
        <v>1258</v>
      </c>
      <c r="T49" s="4">
        <v>0</v>
      </c>
      <c r="U49" s="5">
        <f t="shared" si="0"/>
        <v>16361</v>
      </c>
      <c r="V49" s="3">
        <v>839</v>
      </c>
      <c r="W49" s="3">
        <v>0</v>
      </c>
      <c r="X49" s="3">
        <v>0</v>
      </c>
      <c r="Y49" s="11">
        <v>0</v>
      </c>
      <c r="Z49" s="5"/>
      <c r="AA49" s="3"/>
      <c r="AB49" s="5"/>
      <c r="AC49" s="3">
        <v>180</v>
      </c>
      <c r="AD49" s="5">
        <f t="shared" si="2"/>
        <v>17380</v>
      </c>
      <c r="AE49" s="4">
        <v>1705</v>
      </c>
      <c r="AF49" s="4">
        <v>113</v>
      </c>
      <c r="AG49" s="3">
        <v>34.76</v>
      </c>
      <c r="AH49" s="3">
        <v>20</v>
      </c>
      <c r="AI49" s="3">
        <v>0</v>
      </c>
      <c r="AJ49" s="3">
        <v>0</v>
      </c>
      <c r="AK49" s="4">
        <v>0</v>
      </c>
      <c r="AL49" s="5">
        <f t="shared" si="3"/>
        <v>1873</v>
      </c>
      <c r="AM49" s="5">
        <f t="shared" si="4"/>
        <v>15507</v>
      </c>
    </row>
    <row r="50" spans="1:39" x14ac:dyDescent="0.35">
      <c r="A50" s="3" t="s">
        <v>112</v>
      </c>
      <c r="B50" t="s">
        <v>2</v>
      </c>
      <c r="C50" s="2" t="s">
        <v>16</v>
      </c>
      <c r="D50" s="3" t="s">
        <v>113</v>
      </c>
      <c r="E50" s="3" t="s">
        <v>170</v>
      </c>
      <c r="F50" s="3" t="s">
        <v>161</v>
      </c>
      <c r="G50" s="6" t="s">
        <v>219</v>
      </c>
      <c r="H50" s="8" t="s">
        <v>298</v>
      </c>
      <c r="I50" s="9">
        <v>2019466356</v>
      </c>
      <c r="J50">
        <v>30</v>
      </c>
      <c r="K50" s="3">
        <v>26</v>
      </c>
      <c r="L50" s="3">
        <v>16781</v>
      </c>
      <c r="M50" s="3">
        <v>0</v>
      </c>
      <c r="N50" s="3">
        <v>1398</v>
      </c>
      <c r="O50" s="3">
        <v>0</v>
      </c>
      <c r="P50" s="3">
        <v>18179</v>
      </c>
      <c r="Q50" s="4">
        <v>14544</v>
      </c>
      <c r="R50" s="4">
        <v>0</v>
      </c>
      <c r="S50" s="3">
        <v>1212</v>
      </c>
      <c r="T50" s="4">
        <v>0</v>
      </c>
      <c r="U50" s="5">
        <f t="shared" si="0"/>
        <v>15756</v>
      </c>
      <c r="V50" s="3">
        <v>839</v>
      </c>
      <c r="W50" s="3">
        <v>0</v>
      </c>
      <c r="X50" s="3">
        <v>0</v>
      </c>
      <c r="Y50" s="11">
        <v>180</v>
      </c>
      <c r="Z50" s="5"/>
      <c r="AA50" s="3"/>
      <c r="AB50" s="5"/>
      <c r="AC50" s="3">
        <v>180</v>
      </c>
      <c r="AD50" s="5">
        <f t="shared" si="2"/>
        <v>16955</v>
      </c>
      <c r="AE50" s="4">
        <v>1645</v>
      </c>
      <c r="AF50" s="4">
        <v>109</v>
      </c>
      <c r="AG50" s="3">
        <v>33.909999999999997</v>
      </c>
      <c r="AH50" s="3">
        <v>20</v>
      </c>
      <c r="AI50" s="3">
        <v>0</v>
      </c>
      <c r="AJ50" s="3">
        <v>0</v>
      </c>
      <c r="AK50" s="4">
        <v>0</v>
      </c>
      <c r="AL50" s="5">
        <f t="shared" si="3"/>
        <v>1808</v>
      </c>
      <c r="AM50" s="5">
        <f t="shared" si="4"/>
        <v>15147</v>
      </c>
    </row>
    <row r="51" spans="1:39" x14ac:dyDescent="0.35">
      <c r="A51" s="3" t="s">
        <v>114</v>
      </c>
      <c r="B51" t="s">
        <v>2</v>
      </c>
      <c r="C51" s="2" t="s">
        <v>16</v>
      </c>
      <c r="D51" s="3" t="s">
        <v>115</v>
      </c>
      <c r="E51" s="3" t="s">
        <v>170</v>
      </c>
      <c r="F51" s="3" t="s">
        <v>161</v>
      </c>
      <c r="G51" s="6" t="s">
        <v>220</v>
      </c>
      <c r="H51" s="9" t="s">
        <v>299</v>
      </c>
      <c r="I51" s="9" t="s">
        <v>300</v>
      </c>
      <c r="J51">
        <v>30</v>
      </c>
      <c r="K51" s="3">
        <v>23</v>
      </c>
      <c r="L51" s="3">
        <v>16781</v>
      </c>
      <c r="M51" s="3">
        <v>0</v>
      </c>
      <c r="N51" s="3">
        <v>1398</v>
      </c>
      <c r="O51" s="3">
        <v>0</v>
      </c>
      <c r="P51" s="3">
        <v>18179</v>
      </c>
      <c r="Q51" s="4">
        <v>12865</v>
      </c>
      <c r="R51" s="4">
        <v>0</v>
      </c>
      <c r="S51" s="3">
        <v>1072</v>
      </c>
      <c r="T51" s="4">
        <v>0</v>
      </c>
      <c r="U51" s="5">
        <f t="shared" si="0"/>
        <v>13937</v>
      </c>
      <c r="V51" s="3">
        <v>0</v>
      </c>
      <c r="W51" s="3">
        <v>0</v>
      </c>
      <c r="X51" s="3">
        <v>0</v>
      </c>
      <c r="Y51" s="11">
        <v>0</v>
      </c>
      <c r="Z51" s="5"/>
      <c r="AA51" s="3"/>
      <c r="AB51" s="5"/>
      <c r="AC51" s="3">
        <v>0</v>
      </c>
      <c r="AD51" s="5">
        <f t="shared" si="2"/>
        <v>13937</v>
      </c>
      <c r="AE51" s="4">
        <v>1480</v>
      </c>
      <c r="AF51" s="4">
        <v>96</v>
      </c>
      <c r="AG51" s="3">
        <v>27.87</v>
      </c>
      <c r="AH51" s="3">
        <v>20</v>
      </c>
      <c r="AI51" s="3">
        <v>0</v>
      </c>
      <c r="AJ51" s="3">
        <v>0</v>
      </c>
      <c r="AK51" s="4">
        <v>0</v>
      </c>
      <c r="AL51" s="5">
        <f t="shared" si="3"/>
        <v>1624</v>
      </c>
      <c r="AM51" s="5">
        <f t="shared" si="4"/>
        <v>12313</v>
      </c>
    </row>
    <row r="52" spans="1:39" x14ac:dyDescent="0.35">
      <c r="A52" s="3" t="s">
        <v>116</v>
      </c>
      <c r="B52" t="s">
        <v>2</v>
      </c>
      <c r="C52" s="2" t="s">
        <v>16</v>
      </c>
      <c r="D52" s="3" t="s">
        <v>117</v>
      </c>
      <c r="E52" s="3" t="s">
        <v>170</v>
      </c>
      <c r="F52" s="3" t="s">
        <v>161</v>
      </c>
      <c r="G52" s="6" t="s">
        <v>221</v>
      </c>
      <c r="H52" s="8" t="s">
        <v>301</v>
      </c>
      <c r="I52" s="9">
        <v>1323733375</v>
      </c>
      <c r="J52">
        <v>30</v>
      </c>
      <c r="K52" s="3">
        <v>15</v>
      </c>
      <c r="L52" s="3">
        <v>16781</v>
      </c>
      <c r="M52" s="3">
        <v>0</v>
      </c>
      <c r="N52" s="3">
        <v>1398</v>
      </c>
      <c r="O52" s="3">
        <v>0</v>
      </c>
      <c r="P52" s="3">
        <v>18179</v>
      </c>
      <c r="Q52" s="4">
        <v>8391</v>
      </c>
      <c r="R52" s="4">
        <v>0</v>
      </c>
      <c r="S52" s="3">
        <v>699</v>
      </c>
      <c r="T52" s="4">
        <v>0</v>
      </c>
      <c r="U52" s="5">
        <f t="shared" si="0"/>
        <v>9090</v>
      </c>
      <c r="V52" s="3">
        <v>839</v>
      </c>
      <c r="W52" s="3">
        <v>0</v>
      </c>
      <c r="X52" s="3">
        <v>0</v>
      </c>
      <c r="Y52" s="11">
        <v>0</v>
      </c>
      <c r="Z52" s="5"/>
      <c r="AA52" s="3"/>
      <c r="AB52" s="5"/>
      <c r="AC52" s="3">
        <v>0</v>
      </c>
      <c r="AD52" s="5">
        <f t="shared" si="2"/>
        <v>9929</v>
      </c>
      <c r="AE52" s="4">
        <v>914</v>
      </c>
      <c r="AF52" s="4">
        <v>63</v>
      </c>
      <c r="AG52" s="3">
        <v>19.86</v>
      </c>
      <c r="AH52" s="3">
        <v>20</v>
      </c>
      <c r="AI52" s="3">
        <v>0</v>
      </c>
      <c r="AJ52" s="3">
        <v>0</v>
      </c>
      <c r="AK52" s="4">
        <v>4241.7666666666664</v>
      </c>
      <c r="AL52" s="5">
        <f t="shared" si="3"/>
        <v>5259</v>
      </c>
      <c r="AM52" s="5">
        <f t="shared" si="4"/>
        <v>4670</v>
      </c>
    </row>
    <row r="53" spans="1:39" x14ac:dyDescent="0.35">
      <c r="A53" s="3" t="s">
        <v>118</v>
      </c>
      <c r="B53" t="s">
        <v>2</v>
      </c>
      <c r="C53" s="2" t="s">
        <v>16</v>
      </c>
      <c r="D53" s="3" t="s">
        <v>119</v>
      </c>
      <c r="E53" s="3" t="s">
        <v>169</v>
      </c>
      <c r="F53" s="3" t="s">
        <v>161</v>
      </c>
      <c r="G53" s="6" t="s">
        <v>222</v>
      </c>
      <c r="H53" s="8" t="s">
        <v>302</v>
      </c>
      <c r="I53" s="9">
        <v>2215160263</v>
      </c>
      <c r="J53">
        <v>30</v>
      </c>
      <c r="K53" s="3">
        <v>15</v>
      </c>
      <c r="L53" s="3">
        <v>16781</v>
      </c>
      <c r="M53" s="3">
        <v>2463</v>
      </c>
      <c r="N53" s="3">
        <v>1398</v>
      </c>
      <c r="O53" s="3">
        <v>0</v>
      </c>
      <c r="P53" s="3">
        <v>20642</v>
      </c>
      <c r="Q53" s="4">
        <v>8391</v>
      </c>
      <c r="R53" s="4">
        <v>1338</v>
      </c>
      <c r="S53" s="3">
        <v>699</v>
      </c>
      <c r="T53" s="4">
        <v>0</v>
      </c>
      <c r="U53" s="5">
        <f t="shared" si="0"/>
        <v>10428</v>
      </c>
      <c r="V53" s="3">
        <v>839</v>
      </c>
      <c r="W53" s="3">
        <v>0</v>
      </c>
      <c r="X53" s="3">
        <v>130</v>
      </c>
      <c r="Y53" s="11">
        <v>52</v>
      </c>
      <c r="Z53" s="5"/>
      <c r="AA53" s="3"/>
      <c r="AB53" s="5"/>
      <c r="AC53" s="3">
        <v>0</v>
      </c>
      <c r="AD53" s="5">
        <f t="shared" si="2"/>
        <v>11449</v>
      </c>
      <c r="AE53" s="4">
        <v>900</v>
      </c>
      <c r="AF53" s="4">
        <v>63</v>
      </c>
      <c r="AG53" s="3">
        <v>22.9</v>
      </c>
      <c r="AH53" s="3">
        <v>20</v>
      </c>
      <c r="AI53" s="3">
        <v>1040</v>
      </c>
      <c r="AJ53" s="3">
        <v>52</v>
      </c>
      <c r="AK53" s="4">
        <v>4816.4666666666672</v>
      </c>
      <c r="AL53" s="5">
        <f t="shared" si="3"/>
        <v>6914</v>
      </c>
      <c r="AM53" s="5">
        <f t="shared" si="4"/>
        <v>4535</v>
      </c>
    </row>
    <row r="54" spans="1:39" x14ac:dyDescent="0.35">
      <c r="A54" s="3" t="s">
        <v>120</v>
      </c>
      <c r="B54" t="s">
        <v>2</v>
      </c>
      <c r="C54" s="2" t="s">
        <v>16</v>
      </c>
      <c r="D54" s="3" t="s">
        <v>121</v>
      </c>
      <c r="E54" s="3" t="s">
        <v>170</v>
      </c>
      <c r="F54" s="3" t="s">
        <v>162</v>
      </c>
      <c r="G54" s="6" t="s">
        <v>223</v>
      </c>
      <c r="H54" s="9" t="s">
        <v>303</v>
      </c>
      <c r="I54" s="9">
        <v>6937392102</v>
      </c>
      <c r="J54">
        <v>30</v>
      </c>
      <c r="K54" s="3">
        <v>30</v>
      </c>
      <c r="L54" s="3">
        <v>16781</v>
      </c>
      <c r="M54" s="3">
        <v>0</v>
      </c>
      <c r="N54" s="3">
        <v>1398</v>
      </c>
      <c r="O54" s="3">
        <v>0</v>
      </c>
      <c r="P54" s="3">
        <v>18179</v>
      </c>
      <c r="Q54" s="4">
        <v>16781</v>
      </c>
      <c r="R54" s="4">
        <v>0</v>
      </c>
      <c r="S54" s="3">
        <v>1398</v>
      </c>
      <c r="T54" s="4">
        <v>0</v>
      </c>
      <c r="U54" s="5">
        <f t="shared" si="0"/>
        <v>18179</v>
      </c>
      <c r="V54" s="3">
        <v>839</v>
      </c>
      <c r="W54" s="3">
        <v>1200</v>
      </c>
      <c r="X54" s="3">
        <v>0</v>
      </c>
      <c r="Y54" s="11">
        <v>0</v>
      </c>
      <c r="Z54" s="5"/>
      <c r="AA54" s="3"/>
      <c r="AB54" s="5"/>
      <c r="AC54" s="3">
        <v>0</v>
      </c>
      <c r="AD54" s="5">
        <f t="shared" si="2"/>
        <v>20218</v>
      </c>
      <c r="AE54" s="4">
        <v>1900</v>
      </c>
      <c r="AF54" s="4">
        <v>126</v>
      </c>
      <c r="AG54" s="3">
        <v>35</v>
      </c>
      <c r="AH54" s="3">
        <v>20</v>
      </c>
      <c r="AI54" s="3">
        <v>0</v>
      </c>
      <c r="AJ54" s="3">
        <v>0</v>
      </c>
      <c r="AK54" s="4">
        <v>0</v>
      </c>
      <c r="AL54" s="5">
        <f t="shared" si="3"/>
        <v>2081</v>
      </c>
      <c r="AM54" s="5">
        <f t="shared" si="4"/>
        <v>18137</v>
      </c>
    </row>
    <row r="55" spans="1:39" x14ac:dyDescent="0.35">
      <c r="A55" s="3" t="s">
        <v>122</v>
      </c>
      <c r="B55" t="s">
        <v>2</v>
      </c>
      <c r="C55" s="2" t="s">
        <v>16</v>
      </c>
      <c r="D55" s="3" t="s">
        <v>123</v>
      </c>
      <c r="E55" s="3" t="s">
        <v>170</v>
      </c>
      <c r="F55" s="3" t="s">
        <v>162</v>
      </c>
      <c r="G55" s="6" t="s">
        <v>224</v>
      </c>
      <c r="H55" s="8" t="s">
        <v>304</v>
      </c>
      <c r="I55" s="9">
        <v>1324816009</v>
      </c>
      <c r="J55">
        <v>30</v>
      </c>
      <c r="K55" s="3">
        <v>29</v>
      </c>
      <c r="L55" s="3">
        <v>16781</v>
      </c>
      <c r="M55" s="3">
        <v>0</v>
      </c>
      <c r="N55" s="3">
        <v>1398</v>
      </c>
      <c r="O55" s="3">
        <v>0</v>
      </c>
      <c r="P55" s="3">
        <v>18179</v>
      </c>
      <c r="Q55" s="4">
        <v>16222</v>
      </c>
      <c r="R55" s="4">
        <v>0</v>
      </c>
      <c r="S55" s="3">
        <v>1351</v>
      </c>
      <c r="T55" s="4">
        <v>0</v>
      </c>
      <c r="U55" s="5">
        <f t="shared" si="0"/>
        <v>17573</v>
      </c>
      <c r="V55" s="3">
        <v>839</v>
      </c>
      <c r="W55" s="3">
        <v>1000</v>
      </c>
      <c r="X55" s="3">
        <v>0</v>
      </c>
      <c r="Y55" s="11">
        <v>0</v>
      </c>
      <c r="Z55" s="5"/>
      <c r="AA55" s="3"/>
      <c r="AB55" s="5"/>
      <c r="AC55" s="3">
        <v>0</v>
      </c>
      <c r="AD55" s="5">
        <f t="shared" si="2"/>
        <v>19412</v>
      </c>
      <c r="AE55" s="4">
        <v>1833</v>
      </c>
      <c r="AF55" s="4">
        <v>122</v>
      </c>
      <c r="AG55" s="3">
        <v>35</v>
      </c>
      <c r="AH55" s="3">
        <v>20</v>
      </c>
      <c r="AI55" s="3">
        <v>0</v>
      </c>
      <c r="AJ55" s="3">
        <v>0</v>
      </c>
      <c r="AK55" s="4">
        <v>0</v>
      </c>
      <c r="AL55" s="5">
        <f t="shared" si="3"/>
        <v>2010</v>
      </c>
      <c r="AM55" s="5">
        <f t="shared" si="4"/>
        <v>17402</v>
      </c>
    </row>
    <row r="56" spans="1:39" x14ac:dyDescent="0.35">
      <c r="A56" s="3" t="s">
        <v>124</v>
      </c>
      <c r="B56" t="s">
        <v>2</v>
      </c>
      <c r="C56" s="2" t="s">
        <v>16</v>
      </c>
      <c r="D56" s="3" t="s">
        <v>97</v>
      </c>
      <c r="E56" s="3" t="s">
        <v>170</v>
      </c>
      <c r="F56" s="3" t="s">
        <v>163</v>
      </c>
      <c r="G56" s="6" t="s">
        <v>225</v>
      </c>
      <c r="H56" s="8" t="s">
        <v>305</v>
      </c>
      <c r="I56" s="9">
        <v>4942308467</v>
      </c>
      <c r="J56">
        <v>30</v>
      </c>
      <c r="K56" s="3">
        <v>30</v>
      </c>
      <c r="L56" s="3">
        <v>16781</v>
      </c>
      <c r="M56" s="3">
        <v>0</v>
      </c>
      <c r="N56" s="3">
        <v>1398</v>
      </c>
      <c r="O56" s="3">
        <v>0</v>
      </c>
      <c r="P56" s="3">
        <v>18179</v>
      </c>
      <c r="Q56" s="4">
        <v>16781</v>
      </c>
      <c r="R56" s="4">
        <v>0</v>
      </c>
      <c r="S56" s="3">
        <v>1398</v>
      </c>
      <c r="T56" s="4">
        <v>0</v>
      </c>
      <c r="U56" s="5">
        <f t="shared" si="0"/>
        <v>18179</v>
      </c>
      <c r="V56" s="3">
        <v>839</v>
      </c>
      <c r="W56" s="3">
        <v>1200</v>
      </c>
      <c r="X56" s="3">
        <v>0</v>
      </c>
      <c r="Y56" s="11">
        <v>489</v>
      </c>
      <c r="Z56" s="5"/>
      <c r="AA56" s="3"/>
      <c r="AB56" s="5"/>
      <c r="AC56" s="3">
        <v>0</v>
      </c>
      <c r="AD56" s="5">
        <f t="shared" si="2"/>
        <v>20707</v>
      </c>
      <c r="AE56" s="4">
        <v>1900</v>
      </c>
      <c r="AF56" s="4">
        <v>126</v>
      </c>
      <c r="AG56" s="3">
        <v>35</v>
      </c>
      <c r="AH56" s="3">
        <v>20</v>
      </c>
      <c r="AI56" s="3">
        <v>0</v>
      </c>
      <c r="AJ56" s="3">
        <v>485</v>
      </c>
      <c r="AK56" s="4">
        <v>0</v>
      </c>
      <c r="AL56" s="5">
        <f t="shared" si="3"/>
        <v>2566</v>
      </c>
      <c r="AM56" s="5">
        <f t="shared" si="4"/>
        <v>18141</v>
      </c>
    </row>
    <row r="57" spans="1:39" x14ac:dyDescent="0.35">
      <c r="A57" s="3" t="s">
        <v>125</v>
      </c>
      <c r="B57" t="s">
        <v>2</v>
      </c>
      <c r="C57" s="2" t="s">
        <v>16</v>
      </c>
      <c r="D57" s="3" t="s">
        <v>126</v>
      </c>
      <c r="E57" s="3" t="s">
        <v>170</v>
      </c>
      <c r="F57" s="3" t="s">
        <v>163</v>
      </c>
      <c r="G57" s="6" t="s">
        <v>226</v>
      </c>
      <c r="H57" s="9" t="s">
        <v>306</v>
      </c>
      <c r="I57" s="9">
        <v>6937392110</v>
      </c>
      <c r="J57">
        <v>30</v>
      </c>
      <c r="K57" s="3">
        <v>30</v>
      </c>
      <c r="L57" s="3">
        <v>16781</v>
      </c>
      <c r="M57" s="3">
        <v>0</v>
      </c>
      <c r="N57" s="3">
        <v>1398</v>
      </c>
      <c r="O57" s="3">
        <v>0</v>
      </c>
      <c r="P57" s="3">
        <v>18179</v>
      </c>
      <c r="Q57" s="4">
        <v>16781</v>
      </c>
      <c r="R57" s="4">
        <v>0</v>
      </c>
      <c r="S57" s="3">
        <v>1398</v>
      </c>
      <c r="T57" s="4">
        <v>0</v>
      </c>
      <c r="U57" s="5">
        <f t="shared" si="0"/>
        <v>18179</v>
      </c>
      <c r="V57" s="3">
        <v>839</v>
      </c>
      <c r="W57" s="3">
        <v>1200</v>
      </c>
      <c r="X57" s="3">
        <v>0</v>
      </c>
      <c r="Y57" s="11">
        <v>444</v>
      </c>
      <c r="Z57" s="5"/>
      <c r="AA57" s="3"/>
      <c r="AB57" s="5"/>
      <c r="AC57" s="3">
        <v>0</v>
      </c>
      <c r="AD57" s="5">
        <f t="shared" si="2"/>
        <v>20662</v>
      </c>
      <c r="AE57" s="4">
        <v>1900</v>
      </c>
      <c r="AF57" s="4">
        <v>126</v>
      </c>
      <c r="AG57" s="3">
        <v>35</v>
      </c>
      <c r="AH57" s="3">
        <v>20</v>
      </c>
      <c r="AI57" s="3">
        <v>0</v>
      </c>
      <c r="AJ57" s="3">
        <v>440</v>
      </c>
      <c r="AK57" s="4">
        <v>0</v>
      </c>
      <c r="AL57" s="5">
        <f t="shared" si="3"/>
        <v>2521</v>
      </c>
      <c r="AM57" s="5">
        <f t="shared" si="4"/>
        <v>18141</v>
      </c>
    </row>
    <row r="58" spans="1:39" x14ac:dyDescent="0.35">
      <c r="A58" s="3" t="s">
        <v>127</v>
      </c>
      <c r="B58" t="s">
        <v>2</v>
      </c>
      <c r="C58" s="2" t="s">
        <v>16</v>
      </c>
      <c r="D58" s="3" t="s">
        <v>65</v>
      </c>
      <c r="E58" s="3" t="s">
        <v>170</v>
      </c>
      <c r="F58" s="3" t="s">
        <v>163</v>
      </c>
      <c r="G58" s="6" t="s">
        <v>227</v>
      </c>
      <c r="H58" s="9" t="s">
        <v>307</v>
      </c>
      <c r="I58" s="9" t="s">
        <v>308</v>
      </c>
      <c r="J58">
        <v>30</v>
      </c>
      <c r="K58" s="3">
        <v>30</v>
      </c>
      <c r="L58" s="3">
        <v>16781</v>
      </c>
      <c r="M58" s="3">
        <v>0</v>
      </c>
      <c r="N58" s="3">
        <v>1398</v>
      </c>
      <c r="O58" s="3">
        <v>0</v>
      </c>
      <c r="P58" s="3">
        <v>18179</v>
      </c>
      <c r="Q58" s="4">
        <v>16781</v>
      </c>
      <c r="R58" s="4">
        <v>0</v>
      </c>
      <c r="S58" s="3">
        <v>1398</v>
      </c>
      <c r="T58" s="4">
        <v>0</v>
      </c>
      <c r="U58" s="5">
        <f t="shared" si="0"/>
        <v>18179</v>
      </c>
      <c r="V58" s="3">
        <v>839</v>
      </c>
      <c r="W58" s="3">
        <v>1200</v>
      </c>
      <c r="X58" s="3">
        <v>0</v>
      </c>
      <c r="Y58" s="11">
        <v>0</v>
      </c>
      <c r="Z58" s="5"/>
      <c r="AA58" s="3"/>
      <c r="AB58" s="5"/>
      <c r="AC58" s="3">
        <v>0</v>
      </c>
      <c r="AD58" s="5">
        <f t="shared" si="2"/>
        <v>20218</v>
      </c>
      <c r="AE58" s="4">
        <v>1900</v>
      </c>
      <c r="AF58" s="4">
        <v>126</v>
      </c>
      <c r="AG58" s="3">
        <v>35</v>
      </c>
      <c r="AH58" s="3">
        <v>20</v>
      </c>
      <c r="AI58" s="3">
        <v>0</v>
      </c>
      <c r="AJ58" s="3">
        <v>0</v>
      </c>
      <c r="AK58" s="4">
        <v>0</v>
      </c>
      <c r="AL58" s="5">
        <f t="shared" si="3"/>
        <v>2081</v>
      </c>
      <c r="AM58" s="5">
        <f t="shared" si="4"/>
        <v>18137</v>
      </c>
    </row>
    <row r="59" spans="1:39" x14ac:dyDescent="0.35">
      <c r="A59" s="3" t="s">
        <v>128</v>
      </c>
      <c r="B59" t="s">
        <v>2</v>
      </c>
      <c r="C59" s="2" t="s">
        <v>16</v>
      </c>
      <c r="D59" s="3" t="s">
        <v>129</v>
      </c>
      <c r="E59" s="3" t="s">
        <v>170</v>
      </c>
      <c r="F59" s="3" t="s">
        <v>163</v>
      </c>
      <c r="G59" s="6" t="s">
        <v>228</v>
      </c>
      <c r="H59" s="9" t="s">
        <v>309</v>
      </c>
      <c r="I59" s="9" t="s">
        <v>310</v>
      </c>
      <c r="J59">
        <v>30</v>
      </c>
      <c r="K59" s="3">
        <v>30</v>
      </c>
      <c r="L59" s="3">
        <v>16781</v>
      </c>
      <c r="M59" s="3">
        <v>0</v>
      </c>
      <c r="N59" s="3">
        <v>1398</v>
      </c>
      <c r="O59" s="3">
        <v>0</v>
      </c>
      <c r="P59" s="3">
        <v>18179</v>
      </c>
      <c r="Q59" s="4">
        <v>16781</v>
      </c>
      <c r="R59" s="4">
        <v>0</v>
      </c>
      <c r="S59" s="3">
        <v>1398</v>
      </c>
      <c r="T59" s="4">
        <v>0</v>
      </c>
      <c r="U59" s="5">
        <f t="shared" si="0"/>
        <v>18179</v>
      </c>
      <c r="V59" s="3">
        <v>0</v>
      </c>
      <c r="W59" s="3">
        <v>1200</v>
      </c>
      <c r="X59" s="3">
        <v>0</v>
      </c>
      <c r="Y59" s="11">
        <v>0</v>
      </c>
      <c r="Z59" s="5"/>
      <c r="AA59" s="3"/>
      <c r="AB59" s="5"/>
      <c r="AC59" s="3">
        <v>0</v>
      </c>
      <c r="AD59" s="5">
        <f t="shared" si="2"/>
        <v>19379</v>
      </c>
      <c r="AE59" s="4">
        <v>1900</v>
      </c>
      <c r="AF59" s="4">
        <v>126</v>
      </c>
      <c r="AG59" s="3">
        <v>35</v>
      </c>
      <c r="AH59" s="3">
        <v>20</v>
      </c>
      <c r="AI59" s="3">
        <v>0</v>
      </c>
      <c r="AJ59" s="3">
        <v>0</v>
      </c>
      <c r="AK59" s="4">
        <v>0</v>
      </c>
      <c r="AL59" s="5">
        <f t="shared" si="3"/>
        <v>2081</v>
      </c>
      <c r="AM59" s="5">
        <f t="shared" si="4"/>
        <v>17298</v>
      </c>
    </row>
    <row r="60" spans="1:39" x14ac:dyDescent="0.35">
      <c r="A60" s="3" t="s">
        <v>130</v>
      </c>
      <c r="B60" t="s">
        <v>2</v>
      </c>
      <c r="C60" s="2" t="s">
        <v>16</v>
      </c>
      <c r="D60" s="3" t="s">
        <v>131</v>
      </c>
      <c r="E60" s="3" t="s">
        <v>170</v>
      </c>
      <c r="F60" s="3" t="s">
        <v>163</v>
      </c>
      <c r="G60" s="7" t="s">
        <v>229</v>
      </c>
      <c r="H60" s="9">
        <v>0</v>
      </c>
      <c r="I60" s="9">
        <v>6937549250</v>
      </c>
      <c r="J60">
        <v>30</v>
      </c>
      <c r="K60" s="3">
        <v>1</v>
      </c>
      <c r="L60" s="3">
        <v>16781</v>
      </c>
      <c r="M60" s="3">
        <v>0</v>
      </c>
      <c r="N60" s="3">
        <v>1398</v>
      </c>
      <c r="O60" s="3">
        <v>0</v>
      </c>
      <c r="P60" s="3">
        <v>18179</v>
      </c>
      <c r="Q60" s="4">
        <v>559</v>
      </c>
      <c r="R60" s="4">
        <v>0</v>
      </c>
      <c r="S60" s="3">
        <v>47</v>
      </c>
      <c r="T60" s="4">
        <v>0</v>
      </c>
      <c r="U60" s="5">
        <f t="shared" si="0"/>
        <v>606</v>
      </c>
      <c r="V60" s="3">
        <v>0</v>
      </c>
      <c r="W60" s="3">
        <v>0</v>
      </c>
      <c r="X60" s="3">
        <v>0</v>
      </c>
      <c r="Y60" s="11">
        <v>0</v>
      </c>
      <c r="Z60" s="5"/>
      <c r="AA60" s="3"/>
      <c r="AB60" s="5"/>
      <c r="AC60" s="3">
        <v>0</v>
      </c>
      <c r="AD60" s="5">
        <f t="shared" si="2"/>
        <v>606</v>
      </c>
      <c r="AE60" s="4">
        <v>67</v>
      </c>
      <c r="AF60" s="4">
        <v>4</v>
      </c>
      <c r="AG60" s="3">
        <v>1.21</v>
      </c>
      <c r="AH60" s="3">
        <v>20</v>
      </c>
      <c r="AI60" s="3">
        <v>0</v>
      </c>
      <c r="AJ60" s="3">
        <v>0</v>
      </c>
      <c r="AK60" s="4">
        <v>0</v>
      </c>
      <c r="AL60" s="5">
        <f t="shared" si="3"/>
        <v>92</v>
      </c>
      <c r="AM60" s="5">
        <f t="shared" si="4"/>
        <v>514</v>
      </c>
    </row>
    <row r="61" spans="1:39" x14ac:dyDescent="0.35">
      <c r="A61" s="3" t="s">
        <v>132</v>
      </c>
      <c r="B61" t="s">
        <v>2</v>
      </c>
      <c r="C61" s="2" t="s">
        <v>16</v>
      </c>
      <c r="D61" s="3" t="s">
        <v>133</v>
      </c>
      <c r="E61" s="3" t="s">
        <v>171</v>
      </c>
      <c r="F61" s="3" t="s">
        <v>164</v>
      </c>
      <c r="G61" s="6" t="s">
        <v>230</v>
      </c>
      <c r="H61" s="9" t="s">
        <v>311</v>
      </c>
      <c r="I61" s="9" t="s">
        <v>312</v>
      </c>
      <c r="J61">
        <v>30</v>
      </c>
      <c r="K61" s="3">
        <v>29</v>
      </c>
      <c r="L61" s="3">
        <v>16781</v>
      </c>
      <c r="M61" s="3">
        <v>0</v>
      </c>
      <c r="N61" s="3">
        <v>1398</v>
      </c>
      <c r="O61" s="3">
        <v>0</v>
      </c>
      <c r="P61" s="3">
        <v>18179</v>
      </c>
      <c r="Q61" s="4">
        <v>16222</v>
      </c>
      <c r="R61" s="4">
        <v>0</v>
      </c>
      <c r="S61" s="3">
        <v>1351</v>
      </c>
      <c r="T61" s="4">
        <v>0</v>
      </c>
      <c r="U61" s="5">
        <f t="shared" si="0"/>
        <v>17573</v>
      </c>
      <c r="V61" s="3">
        <v>839</v>
      </c>
      <c r="W61" s="3">
        <v>500</v>
      </c>
      <c r="X61" s="3">
        <v>250</v>
      </c>
      <c r="Y61" s="11">
        <v>0</v>
      </c>
      <c r="Z61" s="5"/>
      <c r="AA61" s="3"/>
      <c r="AB61" s="5"/>
      <c r="AC61" s="3">
        <v>0</v>
      </c>
      <c r="AD61" s="5">
        <f t="shared" si="2"/>
        <v>19162</v>
      </c>
      <c r="AE61" s="4">
        <v>1840</v>
      </c>
      <c r="AF61" s="4">
        <v>122</v>
      </c>
      <c r="AG61" s="3">
        <v>35</v>
      </c>
      <c r="AH61" s="3">
        <v>20</v>
      </c>
      <c r="AI61" s="3">
        <v>0</v>
      </c>
      <c r="AJ61" s="3">
        <v>0</v>
      </c>
      <c r="AK61" s="4">
        <v>0</v>
      </c>
      <c r="AL61" s="5">
        <f t="shared" si="3"/>
        <v>2017</v>
      </c>
      <c r="AM61" s="5">
        <f t="shared" si="4"/>
        <v>17145</v>
      </c>
    </row>
    <row r="62" spans="1:39" x14ac:dyDescent="0.35">
      <c r="A62" s="3" t="s">
        <v>134</v>
      </c>
      <c r="B62" t="s">
        <v>2</v>
      </c>
      <c r="C62" s="2" t="s">
        <v>16</v>
      </c>
      <c r="D62" s="3" t="s">
        <v>135</v>
      </c>
      <c r="E62" s="3" t="s">
        <v>170</v>
      </c>
      <c r="F62" s="3" t="s">
        <v>165</v>
      </c>
      <c r="G62" s="6" t="s">
        <v>231</v>
      </c>
      <c r="H62" s="9" t="s">
        <v>313</v>
      </c>
      <c r="I62" s="9" t="s">
        <v>314</v>
      </c>
      <c r="J62">
        <v>30</v>
      </c>
      <c r="K62" s="3">
        <v>29</v>
      </c>
      <c r="L62" s="3">
        <v>14309</v>
      </c>
      <c r="M62" s="3">
        <v>0</v>
      </c>
      <c r="N62" s="3">
        <v>1192</v>
      </c>
      <c r="O62" s="3">
        <v>0</v>
      </c>
      <c r="P62" s="3">
        <v>15501</v>
      </c>
      <c r="Q62" s="4">
        <v>13832</v>
      </c>
      <c r="R62" s="4">
        <v>0</v>
      </c>
      <c r="S62" s="3">
        <v>1152</v>
      </c>
      <c r="T62" s="4">
        <v>0</v>
      </c>
      <c r="U62" s="5">
        <f t="shared" si="0"/>
        <v>14984</v>
      </c>
      <c r="V62" s="3">
        <v>715</v>
      </c>
      <c r="W62" s="3">
        <v>1000</v>
      </c>
      <c r="X62" s="3">
        <v>0</v>
      </c>
      <c r="Y62" s="11">
        <v>0</v>
      </c>
      <c r="Z62" s="5"/>
      <c r="AA62" s="3"/>
      <c r="AB62" s="5"/>
      <c r="AC62" s="3">
        <v>0</v>
      </c>
      <c r="AD62" s="5">
        <f t="shared" si="2"/>
        <v>16699</v>
      </c>
      <c r="AE62" s="4">
        <v>1660</v>
      </c>
      <c r="AF62" s="4">
        <v>104</v>
      </c>
      <c r="AG62" s="3">
        <v>0</v>
      </c>
      <c r="AH62" s="3">
        <v>20</v>
      </c>
      <c r="AI62" s="3">
        <v>0</v>
      </c>
      <c r="AJ62" s="3">
        <v>0</v>
      </c>
      <c r="AK62" s="4">
        <v>0</v>
      </c>
      <c r="AL62" s="5">
        <f t="shared" si="3"/>
        <v>1784</v>
      </c>
      <c r="AM62" s="5">
        <f t="shared" si="4"/>
        <v>14915</v>
      </c>
    </row>
    <row r="63" spans="1:39" x14ac:dyDescent="0.35">
      <c r="A63" s="3" t="s">
        <v>136</v>
      </c>
      <c r="B63" t="s">
        <v>2</v>
      </c>
      <c r="C63" s="2" t="s">
        <v>16</v>
      </c>
      <c r="D63" s="3" t="s">
        <v>137</v>
      </c>
      <c r="E63" s="3" t="s">
        <v>170</v>
      </c>
      <c r="F63" s="3" t="s">
        <v>165</v>
      </c>
      <c r="G63" s="6" t="s">
        <v>232</v>
      </c>
      <c r="H63" s="9" t="s">
        <v>315</v>
      </c>
      <c r="I63" s="9">
        <v>2020047032</v>
      </c>
      <c r="J63">
        <v>30</v>
      </c>
      <c r="K63" s="3">
        <v>29</v>
      </c>
      <c r="L63" s="3">
        <v>14306</v>
      </c>
      <c r="M63" s="3">
        <v>0</v>
      </c>
      <c r="N63" s="3">
        <v>1192</v>
      </c>
      <c r="O63" s="3">
        <v>0</v>
      </c>
      <c r="P63" s="3">
        <v>15498</v>
      </c>
      <c r="Q63" s="4">
        <v>13829</v>
      </c>
      <c r="R63" s="4">
        <v>0</v>
      </c>
      <c r="S63" s="3">
        <v>1152</v>
      </c>
      <c r="T63" s="4">
        <v>0</v>
      </c>
      <c r="U63" s="5">
        <f t="shared" si="0"/>
        <v>14981</v>
      </c>
      <c r="V63" s="3">
        <v>715</v>
      </c>
      <c r="W63" s="3">
        <v>0</v>
      </c>
      <c r="X63" s="3">
        <v>0</v>
      </c>
      <c r="Y63" s="11">
        <v>0</v>
      </c>
      <c r="Z63" s="5"/>
      <c r="AA63" s="3"/>
      <c r="AB63" s="5"/>
      <c r="AC63" s="3">
        <v>0</v>
      </c>
      <c r="AD63" s="5">
        <f t="shared" si="2"/>
        <v>15696</v>
      </c>
      <c r="AE63" s="4">
        <v>1659</v>
      </c>
      <c r="AF63" s="4">
        <v>104</v>
      </c>
      <c r="AG63" s="3">
        <v>0</v>
      </c>
      <c r="AH63" s="3">
        <v>20</v>
      </c>
      <c r="AI63" s="3">
        <v>0</v>
      </c>
      <c r="AJ63" s="3">
        <v>0</v>
      </c>
      <c r="AK63" s="4">
        <v>0</v>
      </c>
      <c r="AL63" s="5">
        <f t="shared" si="3"/>
        <v>1783</v>
      </c>
      <c r="AM63" s="5">
        <f t="shared" si="4"/>
        <v>13913</v>
      </c>
    </row>
    <row r="64" spans="1:39" x14ac:dyDescent="0.35">
      <c r="A64" s="3" t="s">
        <v>138</v>
      </c>
      <c r="B64" t="s">
        <v>2</v>
      </c>
      <c r="C64" s="2" t="s">
        <v>16</v>
      </c>
      <c r="D64" s="3" t="s">
        <v>139</v>
      </c>
      <c r="E64" s="3" t="s">
        <v>170</v>
      </c>
      <c r="F64" s="3" t="s">
        <v>165</v>
      </c>
      <c r="G64" s="6" t="s">
        <v>233</v>
      </c>
      <c r="H64" s="9" t="s">
        <v>316</v>
      </c>
      <c r="I64" s="9">
        <v>2020067694</v>
      </c>
      <c r="J64">
        <v>30</v>
      </c>
      <c r="K64" s="3">
        <v>3</v>
      </c>
      <c r="L64" s="3">
        <v>14306</v>
      </c>
      <c r="M64" s="3">
        <v>0</v>
      </c>
      <c r="N64" s="3">
        <v>1192</v>
      </c>
      <c r="O64" s="3">
        <v>0</v>
      </c>
      <c r="P64" s="3">
        <v>15498</v>
      </c>
      <c r="Q64" s="4">
        <v>1431</v>
      </c>
      <c r="R64" s="4">
        <v>0</v>
      </c>
      <c r="S64" s="3">
        <v>119</v>
      </c>
      <c r="T64" s="4">
        <v>0</v>
      </c>
      <c r="U64" s="5">
        <f t="shared" si="0"/>
        <v>1550</v>
      </c>
      <c r="V64" s="3">
        <v>0</v>
      </c>
      <c r="W64" s="3">
        <v>0</v>
      </c>
      <c r="X64" s="3">
        <v>0</v>
      </c>
      <c r="Y64" s="11">
        <v>0</v>
      </c>
      <c r="Z64" s="5"/>
      <c r="AA64" s="3"/>
      <c r="AB64" s="5"/>
      <c r="AC64" s="3">
        <v>0</v>
      </c>
      <c r="AD64" s="5">
        <f t="shared" si="2"/>
        <v>1550</v>
      </c>
      <c r="AE64" s="4">
        <v>172</v>
      </c>
      <c r="AF64" s="4">
        <v>11</v>
      </c>
      <c r="AG64" s="3">
        <v>0</v>
      </c>
      <c r="AH64" s="3">
        <v>20</v>
      </c>
      <c r="AI64" s="3">
        <v>0</v>
      </c>
      <c r="AJ64" s="3">
        <v>0</v>
      </c>
      <c r="AK64" s="4">
        <v>0</v>
      </c>
      <c r="AL64" s="5">
        <f t="shared" si="3"/>
        <v>203</v>
      </c>
      <c r="AM64" s="5">
        <f t="shared" si="4"/>
        <v>1347</v>
      </c>
    </row>
    <row r="65" spans="1:39" x14ac:dyDescent="0.35">
      <c r="A65" s="3" t="s">
        <v>140</v>
      </c>
      <c r="B65" t="s">
        <v>2</v>
      </c>
      <c r="C65" s="2" t="s">
        <v>16</v>
      </c>
      <c r="D65" s="3" t="s">
        <v>141</v>
      </c>
      <c r="E65" s="3" t="s">
        <v>170</v>
      </c>
      <c r="F65" s="3" t="s">
        <v>165</v>
      </c>
      <c r="G65" s="6">
        <v>0</v>
      </c>
      <c r="H65" s="9" t="s">
        <v>317</v>
      </c>
      <c r="I65" s="9" t="s">
        <v>318</v>
      </c>
      <c r="J65">
        <v>30</v>
      </c>
      <c r="K65" s="3">
        <v>2</v>
      </c>
      <c r="L65" s="3">
        <v>14306</v>
      </c>
      <c r="M65" s="3">
        <v>0</v>
      </c>
      <c r="N65" s="3">
        <v>1192</v>
      </c>
      <c r="O65" s="3">
        <v>0</v>
      </c>
      <c r="P65" s="3">
        <v>15498</v>
      </c>
      <c r="Q65" s="4">
        <v>954</v>
      </c>
      <c r="R65" s="4">
        <v>0</v>
      </c>
      <c r="S65" s="3">
        <v>79</v>
      </c>
      <c r="T65" s="4">
        <v>0</v>
      </c>
      <c r="U65" s="5">
        <f t="shared" si="0"/>
        <v>1033</v>
      </c>
      <c r="V65" s="3">
        <v>0</v>
      </c>
      <c r="W65" s="3">
        <v>0</v>
      </c>
      <c r="X65" s="3">
        <v>0</v>
      </c>
      <c r="Y65" s="11">
        <v>0</v>
      </c>
      <c r="Z65" s="5"/>
      <c r="AA65" s="3"/>
      <c r="AB65" s="5"/>
      <c r="AC65" s="3">
        <v>0</v>
      </c>
      <c r="AD65" s="5">
        <f t="shared" si="2"/>
        <v>1033</v>
      </c>
      <c r="AE65" s="4">
        <v>114</v>
      </c>
      <c r="AF65" s="4">
        <v>7</v>
      </c>
      <c r="AG65" s="3">
        <v>0</v>
      </c>
      <c r="AH65" s="3">
        <v>20</v>
      </c>
      <c r="AI65" s="3">
        <v>0</v>
      </c>
      <c r="AJ65" s="3">
        <v>0</v>
      </c>
      <c r="AK65" s="4">
        <v>0</v>
      </c>
      <c r="AL65" s="5">
        <f t="shared" si="3"/>
        <v>141</v>
      </c>
      <c r="AM65" s="5">
        <f t="shared" si="4"/>
        <v>892</v>
      </c>
    </row>
    <row r="66" spans="1:39" x14ac:dyDescent="0.35">
      <c r="A66" s="3" t="s">
        <v>142</v>
      </c>
      <c r="B66" t="s">
        <v>2</v>
      </c>
      <c r="C66" s="2" t="s">
        <v>16</v>
      </c>
      <c r="D66" s="3" t="s">
        <v>143</v>
      </c>
      <c r="E66" s="3" t="s">
        <v>170</v>
      </c>
      <c r="F66" s="3" t="s">
        <v>166</v>
      </c>
      <c r="G66" s="6" t="s">
        <v>234</v>
      </c>
      <c r="H66" s="9" t="s">
        <v>319</v>
      </c>
      <c r="I66" s="9" t="s">
        <v>320</v>
      </c>
      <c r="J66">
        <v>30</v>
      </c>
      <c r="K66" s="3">
        <v>30</v>
      </c>
      <c r="L66" s="3">
        <v>12259</v>
      </c>
      <c r="M66" s="3">
        <v>1</v>
      </c>
      <c r="N66" s="3">
        <v>1021</v>
      </c>
      <c r="O66" s="3">
        <v>0</v>
      </c>
      <c r="P66" s="3">
        <v>13281</v>
      </c>
      <c r="Q66" s="4">
        <v>12259</v>
      </c>
      <c r="R66" s="4">
        <v>1</v>
      </c>
      <c r="S66" s="3">
        <v>1021</v>
      </c>
      <c r="T66" s="4">
        <v>0</v>
      </c>
      <c r="U66" s="5">
        <f t="shared" ref="U66:U69" si="5">+ROUND(SUM(Q66:T66),0)</f>
        <v>13281</v>
      </c>
      <c r="V66" s="3">
        <v>0</v>
      </c>
      <c r="W66" s="3">
        <v>0</v>
      </c>
      <c r="X66" s="3">
        <v>0</v>
      </c>
      <c r="Y66" s="11">
        <v>0</v>
      </c>
      <c r="Z66" s="5"/>
      <c r="AA66" s="3"/>
      <c r="AB66" s="5"/>
      <c r="AC66" s="3">
        <v>0</v>
      </c>
      <c r="AD66" s="5">
        <f t="shared" si="2"/>
        <v>13281</v>
      </c>
      <c r="AE66" s="4">
        <v>1471</v>
      </c>
      <c r="AF66" s="4">
        <v>92</v>
      </c>
      <c r="AG66" s="3">
        <v>0</v>
      </c>
      <c r="AH66" s="3">
        <v>20</v>
      </c>
      <c r="AI66" s="3">
        <v>0</v>
      </c>
      <c r="AJ66" s="3">
        <v>0</v>
      </c>
      <c r="AK66" s="4">
        <v>0</v>
      </c>
      <c r="AL66" s="5">
        <f t="shared" si="3"/>
        <v>1583</v>
      </c>
      <c r="AM66" s="5">
        <f t="shared" ref="AM66:AM69" si="6">+AD66-AL66</f>
        <v>11698</v>
      </c>
    </row>
    <row r="67" spans="1:39" x14ac:dyDescent="0.35">
      <c r="A67" s="3" t="s">
        <v>144</v>
      </c>
      <c r="B67" t="s">
        <v>2</v>
      </c>
      <c r="C67" s="2" t="s">
        <v>16</v>
      </c>
      <c r="D67" s="3" t="s">
        <v>145</v>
      </c>
      <c r="E67" s="3" t="s">
        <v>169</v>
      </c>
      <c r="F67" s="3" t="s">
        <v>167</v>
      </c>
      <c r="G67" s="6" t="s">
        <v>235</v>
      </c>
      <c r="H67" s="9" t="s">
        <v>321</v>
      </c>
      <c r="I67" s="9" t="s">
        <v>322</v>
      </c>
      <c r="J67">
        <v>30</v>
      </c>
      <c r="K67" s="3">
        <v>29</v>
      </c>
      <c r="L67" s="3">
        <v>11752</v>
      </c>
      <c r="M67" s="3">
        <v>0</v>
      </c>
      <c r="N67" s="3">
        <v>979</v>
      </c>
      <c r="O67" s="3">
        <v>0</v>
      </c>
      <c r="P67" s="3">
        <v>12731</v>
      </c>
      <c r="Q67" s="4">
        <v>11360</v>
      </c>
      <c r="R67" s="4">
        <v>0</v>
      </c>
      <c r="S67" s="3">
        <v>946</v>
      </c>
      <c r="T67" s="4">
        <v>0</v>
      </c>
      <c r="U67" s="5">
        <f t="shared" si="5"/>
        <v>12306</v>
      </c>
      <c r="V67" s="3">
        <v>0</v>
      </c>
      <c r="W67" s="3">
        <v>0</v>
      </c>
      <c r="X67" s="3">
        <v>250</v>
      </c>
      <c r="Y67" s="11">
        <v>0</v>
      </c>
      <c r="Z67" s="5"/>
      <c r="AA67" s="3"/>
      <c r="AB67" s="5"/>
      <c r="AC67" s="3">
        <v>0</v>
      </c>
      <c r="AD67" s="5">
        <f t="shared" ref="AD67:AD69" si="7">+U67+AA67+AB67+AC67+V67+W67+X67+Y67+Z67</f>
        <v>12556</v>
      </c>
      <c r="AE67" s="4">
        <v>1363</v>
      </c>
      <c r="AF67" s="4">
        <v>85</v>
      </c>
      <c r="AG67" s="3">
        <v>0</v>
      </c>
      <c r="AH67" s="3">
        <v>20</v>
      </c>
      <c r="AI67" s="3">
        <v>0</v>
      </c>
      <c r="AJ67" s="3">
        <v>0</v>
      </c>
      <c r="AK67" s="4">
        <v>0</v>
      </c>
      <c r="AL67" s="5">
        <f t="shared" ref="AL67:AL69" si="8">+ROUND(AJ67+AI67+AG67+AF67+AE67+AK67,0)+AH67</f>
        <v>1468</v>
      </c>
      <c r="AM67" s="5">
        <f t="shared" si="6"/>
        <v>11088</v>
      </c>
    </row>
    <row r="68" spans="1:39" x14ac:dyDescent="0.35">
      <c r="A68" s="3" t="s">
        <v>146</v>
      </c>
      <c r="B68" t="s">
        <v>2</v>
      </c>
      <c r="C68" s="2" t="s">
        <v>16</v>
      </c>
      <c r="D68" s="3" t="s">
        <v>147</v>
      </c>
      <c r="E68" s="3" t="s">
        <v>169</v>
      </c>
      <c r="F68" s="3" t="s">
        <v>167</v>
      </c>
      <c r="G68" s="6" t="s">
        <v>236</v>
      </c>
      <c r="H68" s="9">
        <v>0</v>
      </c>
      <c r="I68" s="9">
        <v>2020067684</v>
      </c>
      <c r="J68">
        <v>30</v>
      </c>
      <c r="K68" s="3">
        <v>8</v>
      </c>
      <c r="L68" s="3">
        <v>11752</v>
      </c>
      <c r="M68" s="3">
        <v>0</v>
      </c>
      <c r="N68" s="3">
        <v>979</v>
      </c>
      <c r="O68" s="3">
        <v>0</v>
      </c>
      <c r="P68" s="3">
        <v>12731</v>
      </c>
      <c r="Q68" s="4">
        <v>3134</v>
      </c>
      <c r="R68" s="4">
        <v>0</v>
      </c>
      <c r="S68" s="3">
        <v>261</v>
      </c>
      <c r="T68" s="4">
        <v>0</v>
      </c>
      <c r="U68" s="5">
        <f t="shared" si="5"/>
        <v>3395</v>
      </c>
      <c r="V68" s="3">
        <v>0</v>
      </c>
      <c r="W68" s="3">
        <v>0</v>
      </c>
      <c r="X68" s="3">
        <v>80</v>
      </c>
      <c r="Y68" s="11">
        <v>0</v>
      </c>
      <c r="Z68" s="5"/>
      <c r="AA68" s="3"/>
      <c r="AB68" s="5"/>
      <c r="AC68" s="3">
        <v>0</v>
      </c>
      <c r="AD68" s="5">
        <f t="shared" si="7"/>
        <v>3475</v>
      </c>
      <c r="AE68" s="4">
        <v>376</v>
      </c>
      <c r="AF68" s="4">
        <v>24</v>
      </c>
      <c r="AG68" s="3">
        <v>0</v>
      </c>
      <c r="AH68" s="3">
        <v>20</v>
      </c>
      <c r="AI68" s="3">
        <v>0</v>
      </c>
      <c r="AJ68" s="3">
        <v>0</v>
      </c>
      <c r="AK68" s="4">
        <v>0</v>
      </c>
      <c r="AL68" s="5">
        <f t="shared" si="8"/>
        <v>420</v>
      </c>
      <c r="AM68" s="5">
        <f t="shared" si="6"/>
        <v>3055</v>
      </c>
    </row>
    <row r="69" spans="1:39" x14ac:dyDescent="0.35">
      <c r="A69" s="3" t="s">
        <v>148</v>
      </c>
      <c r="B69" t="s">
        <v>2</v>
      </c>
      <c r="C69" s="2" t="s">
        <v>16</v>
      </c>
      <c r="D69" s="3" t="s">
        <v>149</v>
      </c>
      <c r="E69" s="3" t="s">
        <v>169</v>
      </c>
      <c r="F69" s="3" t="s">
        <v>168</v>
      </c>
      <c r="G69" s="6" t="s">
        <v>237</v>
      </c>
      <c r="H69" s="9" t="s">
        <v>323</v>
      </c>
      <c r="I69" s="9">
        <v>2020047036</v>
      </c>
      <c r="J69">
        <v>30</v>
      </c>
      <c r="K69" s="3">
        <v>28</v>
      </c>
      <c r="L69" s="3">
        <v>11752</v>
      </c>
      <c r="M69" s="3">
        <v>0</v>
      </c>
      <c r="N69" s="3">
        <v>979</v>
      </c>
      <c r="O69" s="3">
        <v>0</v>
      </c>
      <c r="P69" s="3">
        <v>12731</v>
      </c>
      <c r="Q69" s="4">
        <v>10969</v>
      </c>
      <c r="R69" s="4">
        <v>0</v>
      </c>
      <c r="S69" s="3">
        <v>914</v>
      </c>
      <c r="T69" s="4">
        <v>0</v>
      </c>
      <c r="U69" s="5">
        <f t="shared" si="5"/>
        <v>11883</v>
      </c>
      <c r="V69" s="3">
        <v>0</v>
      </c>
      <c r="W69" s="3">
        <v>0</v>
      </c>
      <c r="X69" s="3">
        <v>240</v>
      </c>
      <c r="Y69" s="11">
        <v>0</v>
      </c>
      <c r="Z69" s="5"/>
      <c r="AA69" s="3"/>
      <c r="AB69" s="5"/>
      <c r="AC69" s="3">
        <v>0</v>
      </c>
      <c r="AD69" s="5">
        <f t="shared" si="7"/>
        <v>12123</v>
      </c>
      <c r="AE69" s="4">
        <v>1316</v>
      </c>
      <c r="AF69" s="4">
        <v>82</v>
      </c>
      <c r="AG69" s="3">
        <v>0</v>
      </c>
      <c r="AH69" s="3">
        <v>20</v>
      </c>
      <c r="AI69" s="3">
        <v>0</v>
      </c>
      <c r="AJ69" s="3">
        <v>0</v>
      </c>
      <c r="AK69" s="4">
        <v>0</v>
      </c>
      <c r="AL69" s="5">
        <f t="shared" si="8"/>
        <v>1418</v>
      </c>
      <c r="AM69" s="5">
        <f t="shared" si="6"/>
        <v>10705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 MANAGER</cp:lastModifiedBy>
  <dcterms:created xsi:type="dcterms:W3CDTF">2026-10-30T02:07:20Z</dcterms:created>
  <dcterms:modified xsi:type="dcterms:W3CDTF">2026-10-30T04:17:47Z</dcterms:modified>
</cp:coreProperties>
</file>